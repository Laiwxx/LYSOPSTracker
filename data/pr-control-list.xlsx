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https://lyssg.sharepoint.com/sites/CollaborationHub/Shared Documents/General/03) Purchasing/"/>
    </mc:Choice>
  </mc:AlternateContent>
  <xr:revisionPtr revIDLastSave="0" documentId="8_{605CACE5-C567-49B9-AD2B-0236DDD0B6D2}" xr6:coauthVersionLast="47" xr6:coauthVersionMax="47" xr10:uidLastSave="{00000000-0000-0000-0000-000000000000}"/>
  <bookViews>
    <workbookView xWindow="-110" yWindow="-110" windowWidth="19420" windowHeight="11500" xr2:uid="{82D84DD2-09A2-4DD5-94B1-1A9B2AE937A7}"/>
  </bookViews>
  <sheets>
    <sheet name="Purchase Order List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9" i="3" l="1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78" i="3"/>
  <c r="J277" i="3"/>
  <c r="J276" i="3"/>
  <c r="J275" i="3"/>
  <c r="J274" i="3"/>
  <c r="J273" i="3"/>
  <c r="J272" i="3"/>
  <c r="J271" i="3"/>
  <c r="J270" i="3"/>
  <c r="J269" i="3"/>
  <c r="J268" i="3"/>
  <c r="J266" i="3"/>
  <c r="J267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4" i="3"/>
  <c r="J233" i="3"/>
  <c r="J232" i="3"/>
  <c r="J231" i="3"/>
  <c r="J230" i="3"/>
  <c r="J229" i="3"/>
  <c r="J228" i="3"/>
  <c r="J220" i="3"/>
  <c r="J221" i="3"/>
  <c r="J222" i="3"/>
  <c r="J223" i="3"/>
  <c r="J224" i="3"/>
  <c r="J225" i="3"/>
  <c r="J226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180" i="3"/>
  <c r="J178" i="3"/>
  <c r="J166" i="3"/>
  <c r="J167" i="3"/>
  <c r="J168" i="3"/>
  <c r="J159" i="3"/>
  <c r="J160" i="3"/>
  <c r="J157" i="3"/>
  <c r="J147" i="3"/>
  <c r="J148" i="3"/>
  <c r="J149" i="3"/>
  <c r="J150" i="3"/>
  <c r="J151" i="3"/>
  <c r="J152" i="3"/>
  <c r="J161" i="3"/>
  <c r="J162" i="3"/>
  <c r="J163" i="3"/>
  <c r="J164" i="3"/>
  <c r="J165" i="3"/>
  <c r="J169" i="3"/>
  <c r="J170" i="3"/>
  <c r="J171" i="3"/>
  <c r="J172" i="3"/>
  <c r="J173" i="3"/>
  <c r="J174" i="3"/>
  <c r="J175" i="3"/>
  <c r="J176" i="3"/>
  <c r="J177" i="3"/>
  <c r="J179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141" i="3"/>
  <c r="J142" i="3"/>
  <c r="J143" i="3"/>
  <c r="J146" i="3"/>
  <c r="J145" i="3"/>
  <c r="J153" i="3"/>
  <c r="J154" i="3"/>
  <c r="J155" i="3"/>
  <c r="J156" i="3"/>
  <c r="J158" i="3"/>
  <c r="J140" i="3"/>
  <c r="J139" i="3"/>
  <c r="J144" i="3"/>
  <c r="J111" i="3"/>
  <c r="J110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12" i="3"/>
  <c r="J113" i="3"/>
  <c r="J114" i="3"/>
  <c r="J115" i="3"/>
  <c r="J116" i="3"/>
  <c r="J117" i="3"/>
  <c r="J84" i="3"/>
  <c r="J85" i="3"/>
  <c r="J108" i="3"/>
  <c r="J109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88" i="3"/>
  <c r="J87" i="3"/>
  <c r="J86" i="3"/>
  <c r="J92" i="3"/>
  <c r="J91" i="3"/>
  <c r="J90" i="3"/>
  <c r="J89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</calcChain>
</file>

<file path=xl/sharedStrings.xml><?xml version="1.0" encoding="utf-8"?>
<sst xmlns="http://schemas.openxmlformats.org/spreadsheetml/2006/main" count="1196" uniqueCount="470">
  <si>
    <t>PR Number</t>
  </si>
  <si>
    <t>PO Number</t>
  </si>
  <si>
    <t>PR Request Date</t>
  </si>
  <si>
    <t>Project</t>
  </si>
  <si>
    <t>Site</t>
  </si>
  <si>
    <t>Discription</t>
  </si>
  <si>
    <t>Qty</t>
  </si>
  <si>
    <t>Qty arrive</t>
  </si>
  <si>
    <t>Arrive date</t>
  </si>
  <si>
    <t xml:space="preserve">Outstanding </t>
  </si>
  <si>
    <t>PR25-234</t>
  </si>
  <si>
    <t>PJ009824</t>
  </si>
  <si>
    <t>PR25-235</t>
  </si>
  <si>
    <t>BD19021</t>
  </si>
  <si>
    <t>PR25-236</t>
  </si>
  <si>
    <t>PR25-237</t>
  </si>
  <si>
    <t>PR25-238</t>
  </si>
  <si>
    <t>PR25-239</t>
  </si>
  <si>
    <t>PR25-240</t>
  </si>
  <si>
    <t>PR25-241</t>
  </si>
  <si>
    <t>PR25-242</t>
  </si>
  <si>
    <t>PR25-243</t>
  </si>
  <si>
    <t>PR25-244</t>
  </si>
  <si>
    <t>PR25-245</t>
  </si>
  <si>
    <t>PR25-246</t>
  </si>
  <si>
    <t>PR25-247</t>
  </si>
  <si>
    <t>PR25-248</t>
  </si>
  <si>
    <t>BD21923</t>
  </si>
  <si>
    <t>Neil Road-DNR</t>
  </si>
  <si>
    <t>M/S 8' X 20' X 15mmT</t>
  </si>
  <si>
    <t>PR25-249</t>
  </si>
  <si>
    <t>PR25-250</t>
  </si>
  <si>
    <t>BD25526</t>
  </si>
  <si>
    <t>Parry Ave</t>
  </si>
  <si>
    <t xml:space="preserve">S/S PLATE 4' X 8 ' X 6mmT </t>
  </si>
  <si>
    <t xml:space="preserve">S/S PIPE ⌀ 114 x 3 mmT x 6 m </t>
  </si>
  <si>
    <t>S/S ANCHOR BOLT M12 X 120 mm</t>
  </si>
  <si>
    <t>PR25-251</t>
  </si>
  <si>
    <t>BD25426</t>
  </si>
  <si>
    <t>WCP</t>
  </si>
  <si>
    <t>M/S Galvanized Flat Bar 50 × 3 mmT × 6M</t>
  </si>
  <si>
    <t>PR25-252</t>
  </si>
  <si>
    <t>PJ10425</t>
  </si>
  <si>
    <t>RWS-WW</t>
  </si>
  <si>
    <t>M/S ANGLE BAR 38 x  38 x 4 mmT x 6 meter</t>
  </si>
  <si>
    <t>PR25-253</t>
  </si>
  <si>
    <t>DNR</t>
  </si>
  <si>
    <t>M/S Plate 8' X 20' X 15mmT</t>
  </si>
  <si>
    <t>PR25-254</t>
  </si>
  <si>
    <t>M16 HIT-V (8.8) Hilti bolts, length 250 mm</t>
  </si>
  <si>
    <t>PR25-255</t>
  </si>
  <si>
    <t>PJ10826</t>
  </si>
  <si>
    <t>RWS-WW Atoll wall</t>
  </si>
  <si>
    <t xml:space="preserve">Nippon Hi-Pon 20-04 (Primer – Grey) </t>
  </si>
  <si>
    <t xml:space="preserve">Nippon Hi-Pon 50-01 (Topcoat – Grey) </t>
  </si>
  <si>
    <t xml:space="preserve">Galvanizing Paint </t>
  </si>
  <si>
    <t>PR25-256</t>
  </si>
  <si>
    <t>BD24725</t>
  </si>
  <si>
    <t>Vivo City</t>
  </si>
  <si>
    <t>M/S Plate 4' X 8' X 6mmT</t>
  </si>
  <si>
    <t>M/S Plate 4' X 8' X 3mmT</t>
  </si>
  <si>
    <t>PR25-257</t>
  </si>
  <si>
    <t>PL00624</t>
  </si>
  <si>
    <t>W/S</t>
  </si>
  <si>
    <t>CO2 Cylinder</t>
  </si>
  <si>
    <t>PR25-258</t>
  </si>
  <si>
    <t>Hilti hammer Drillbits Dia M18 x 300 mm</t>
  </si>
  <si>
    <t>PR25-259</t>
  </si>
  <si>
    <t>PJ10225</t>
  </si>
  <si>
    <t>Blk 341</t>
  </si>
  <si>
    <t>Nippon Paint RAL 7012</t>
  </si>
  <si>
    <t>PR25-260</t>
  </si>
  <si>
    <t>BD24025</t>
  </si>
  <si>
    <t>ED189 Boon Lay</t>
  </si>
  <si>
    <t>M20 HIT-V (8.8) Hilti bolts, length 300 mm</t>
  </si>
  <si>
    <t>PR25-261</t>
  </si>
  <si>
    <t>M/S Plate 4' x 8 ' x 16 mm</t>
  </si>
  <si>
    <t>PR25-262</t>
  </si>
  <si>
    <t>M/S SHS 75 x 75 x 3 mm length 6 m</t>
  </si>
  <si>
    <t xml:space="preserve">M/S SHS 120 x 120 x 5 mm length 12 m </t>
  </si>
  <si>
    <t xml:space="preserve">M/S Flat Bar  50 x 3mm </t>
  </si>
  <si>
    <t xml:space="preserve">M/S Flat Bar  100 x 3 mm </t>
  </si>
  <si>
    <t>PR25-263</t>
  </si>
  <si>
    <t xml:space="preserve">M/S HN450×200×14×9  length 9m </t>
  </si>
  <si>
    <t>PR25-264</t>
  </si>
  <si>
    <t xml:space="preserve">DE189 Boon Lay </t>
  </si>
  <si>
    <t xml:space="preserve">M/S pipe Ø273 x 8mmT  length 6m </t>
  </si>
  <si>
    <t>M/S Plate 8' x 20'  x 25 mmT</t>
  </si>
  <si>
    <t>PR25-265</t>
  </si>
  <si>
    <t>Work shop</t>
  </si>
  <si>
    <t>M/S SHS 100  x 100 x 3 mmT length 6 m</t>
  </si>
  <si>
    <t>M/S SHS 50 x 50 x 3 mmT length 6 m</t>
  </si>
  <si>
    <t>PR25-266</t>
  </si>
  <si>
    <t xml:space="preserve">Rebar Ø13mm × 6m </t>
  </si>
  <si>
    <t xml:space="preserve"> I-Beam 200 x 100 x 7 mmT - length 6m </t>
  </si>
  <si>
    <t xml:space="preserve">Lip Channel 150  x 65 x 6 mmT - length 6 m </t>
  </si>
  <si>
    <t>PR25-267</t>
  </si>
  <si>
    <t>Galvinizing Wire mash 2600 x 2400 mm</t>
  </si>
  <si>
    <t>PR25-268</t>
  </si>
  <si>
    <t>DA Cyliner</t>
  </si>
  <si>
    <t>O2 Cylinder</t>
  </si>
  <si>
    <t>PR25-269</t>
  </si>
  <si>
    <t xml:space="preserve">M/S iBeam 155 x 105 x 6 mmT - Length 6 meter </t>
  </si>
  <si>
    <t xml:space="preserve">M/S iBeam 155 x 155 x 8 mmT - Length 6 meter </t>
  </si>
  <si>
    <t xml:space="preserve">M/S Angle Bar 75 x 75 x 6 mmT - Length 6 meter </t>
  </si>
  <si>
    <t xml:space="preserve">M/S SHS 80 x 80 x 6 mmT  - Length 6 meter </t>
  </si>
  <si>
    <t xml:space="preserve">M/S SHS 200 x 200 x 8 mmT  - Length 6 meter </t>
  </si>
  <si>
    <t xml:space="preserve">M/S C - Channel 152 x 51 x 6 mmT  - Length 6 meter </t>
  </si>
  <si>
    <t xml:space="preserve">M/S RHS 100 x 50 x 5 mmT  - Length 6 meter </t>
  </si>
  <si>
    <t>PR25-270</t>
  </si>
  <si>
    <t>EQUIVIS ZS 46</t>
  </si>
  <si>
    <t>PR25-271</t>
  </si>
  <si>
    <t xml:space="preserve">HILTI HIT RE-500 - 0.5 litre </t>
  </si>
  <si>
    <t>PR25-272</t>
  </si>
  <si>
    <t>M/S Plate 4' x 8 ' x 16 mm G355</t>
  </si>
  <si>
    <t>PR25-273</t>
  </si>
  <si>
    <t>PVC Pipe Ø 50mm x 6mmT x 6m</t>
  </si>
  <si>
    <t>PVC 50mm Elbow (L-Joint)</t>
  </si>
  <si>
    <t>PVC 100mm Elbow (L-Joint)</t>
  </si>
  <si>
    <t>PR25-274</t>
  </si>
  <si>
    <t>I-Beam 300 × 150 × 6 mm, Length 6 meters</t>
  </si>
  <si>
    <t>PR25-275</t>
  </si>
  <si>
    <t xml:space="preserve">Workshop </t>
  </si>
  <si>
    <t>Atlantic CHT711 (E71T-1C) flux core wire -1.2mm</t>
  </si>
  <si>
    <t>PR25-276</t>
  </si>
  <si>
    <t>M/S Plate 5' x 10 ' x 10 mm G355</t>
  </si>
  <si>
    <t>PR25-277</t>
  </si>
  <si>
    <t xml:space="preserve">M/S C - Channel 150 x 75 x 8 mmT - Length 6 meter </t>
  </si>
  <si>
    <t>PR25-278</t>
  </si>
  <si>
    <t>M/S J-Bolt M24 (see Attach Picture)</t>
  </si>
  <si>
    <t>M/S piple Ø 273mm x 10 mmT x 6m</t>
  </si>
  <si>
    <t>PR25-279</t>
  </si>
  <si>
    <t>PR25-280</t>
  </si>
  <si>
    <t>PR25-281</t>
  </si>
  <si>
    <t xml:space="preserve">M/S RHS 75 x 50 x 5 mm length 6m </t>
  </si>
  <si>
    <t>M/S Flat Bar 50 x 6 mm length 6m</t>
  </si>
  <si>
    <t>M/S Flat Bar 32 x 3 mm length 6m</t>
  </si>
  <si>
    <t xml:space="preserve">M/S Round bar Ø 20 mm length 6m </t>
  </si>
  <si>
    <t>PR25-282</t>
  </si>
  <si>
    <t>Orcon cylinder</t>
  </si>
  <si>
    <t>PR25-283</t>
  </si>
  <si>
    <t>Rader Detector (Picture 1 )</t>
  </si>
  <si>
    <t>Network Cable CAT 6 (P/N444P44406) (picture 2 )</t>
  </si>
  <si>
    <t>PR25-284</t>
  </si>
  <si>
    <t>PR25-285</t>
  </si>
  <si>
    <t>DE189 Bedok</t>
  </si>
  <si>
    <t xml:space="preserve">M/S pipe Ø273 x 8 mmT  length 6m </t>
  </si>
  <si>
    <t>PR25-286</t>
  </si>
  <si>
    <t>M/S ANGLE BAR 50 x  50 x 4 mmT x 6 meter</t>
  </si>
  <si>
    <t xml:space="preserve">M/S Flat Bar  40 x 5 mmT - 6 m </t>
  </si>
  <si>
    <t>PR25-287</t>
  </si>
  <si>
    <t>PR25-288</t>
  </si>
  <si>
    <t xml:space="preserve">M/S Angle Bar 100 x 100 x 9 mmT - Length 6m </t>
  </si>
  <si>
    <t xml:space="preserve">M/S Angle Bar  75 x 75 x 6 mmT - Length 6m </t>
  </si>
  <si>
    <t xml:space="preserve">M/S Unistrut Channel Strut 41 x 41 x 2.5mmT - Length 6m </t>
  </si>
  <si>
    <t xml:space="preserve">M/S Unistrut Channel Strut 41 x 21 x 2.5mmT - Length 6m </t>
  </si>
  <si>
    <t>PR25-289</t>
  </si>
  <si>
    <t>I-Beam 300 × 150 × 6 mm, Length 12 meters</t>
  </si>
  <si>
    <t>I-Beam 300 × 150 × 6 mm, Length 6  meters</t>
  </si>
  <si>
    <t>M/S Plate 5' x 10 ' x 25 mmT</t>
  </si>
  <si>
    <t>M/S Plate 5' x 10 ' x 16mmT</t>
  </si>
  <si>
    <t>M/S Plate 5' x 10 ' x 10mmT</t>
  </si>
  <si>
    <t>PR25-290</t>
  </si>
  <si>
    <t xml:space="preserve">M/S SHS 32 x 32 x 5 mm - Length 6m </t>
  </si>
  <si>
    <t>PR25-291</t>
  </si>
  <si>
    <t>M/S Angle Bar 60 x 60 x 5mmT - Length 6m</t>
  </si>
  <si>
    <t>PR25-292</t>
  </si>
  <si>
    <t>BD22724</t>
  </si>
  <si>
    <t>T232 - RTS</t>
  </si>
  <si>
    <t>UPVC Pipe Ø 100mm x 6mmT - Length 6m (Heavy Duty)</t>
  </si>
  <si>
    <t>UPVC Pipe Ø 100mm Elbow long bend 90 degree (Heavy Duty)</t>
  </si>
  <si>
    <t>UPVC Pipe Ø 100mm T Join (Heavy Duty)</t>
  </si>
  <si>
    <t>UPVC Pipe Ø 100mm Socket - Long type  (Heavy Duty)</t>
  </si>
  <si>
    <t>UPVC Pipe Ø 50mm x 6mmT x - Length 6m (Heavy Duty)</t>
  </si>
  <si>
    <t>UPVC Pipe Ø 50mm Elbow long bend (Heavy Duty)</t>
  </si>
  <si>
    <t>UPVC Pipe Ø 50mm Socket - Long type  (Heavy Duty)</t>
  </si>
  <si>
    <t>PVC Glue</t>
  </si>
  <si>
    <t>10mm Rope length 1000m</t>
  </si>
  <si>
    <t>PR25-293</t>
  </si>
  <si>
    <t>DE189</t>
  </si>
  <si>
    <t xml:space="preserve">M/S pipe Ø219 x 16 mmT  length 6m </t>
  </si>
  <si>
    <t>M/S Plate 8' x 20'  x 28 mmT</t>
  </si>
  <si>
    <t>PR25-294</t>
  </si>
  <si>
    <t>BDxxx25</t>
  </si>
  <si>
    <t>Project Legend</t>
  </si>
  <si>
    <t xml:space="preserve">M/S pipe Ø139.7 x 8 mmT  length 6m </t>
  </si>
  <si>
    <t>M/S Plate 8' x 20'  x 6 mmT</t>
  </si>
  <si>
    <t>PR25-295</t>
  </si>
  <si>
    <t>PJ10025</t>
  </si>
  <si>
    <t>ICAB</t>
  </si>
  <si>
    <t>PR25-296</t>
  </si>
  <si>
    <t>17 core control cable (see attach Picture)</t>
  </si>
  <si>
    <t>PR25-297</t>
  </si>
  <si>
    <t>M10 Rod - 3 meter</t>
  </si>
  <si>
    <t>M10 Nut</t>
  </si>
  <si>
    <t xml:space="preserve">M10 Washer </t>
  </si>
  <si>
    <t>PR25-298</t>
  </si>
  <si>
    <t>BD25325</t>
  </si>
  <si>
    <t>TT Tuas</t>
  </si>
  <si>
    <t>PR25-299</t>
  </si>
  <si>
    <t xml:space="preserve">M/S I beam 100 x 100 x 9mm - length 6m </t>
  </si>
  <si>
    <t>M/S I beam 150 x100 x 6 mm - length 3 m</t>
  </si>
  <si>
    <t>PR25-300</t>
  </si>
  <si>
    <t>PR25-301</t>
  </si>
  <si>
    <t xml:space="preserve">M/S Galavanished Angle Bar 50 X50 x 6 mm - Length 6 m </t>
  </si>
  <si>
    <t>PR25-302</t>
  </si>
  <si>
    <t>PR25-303</t>
  </si>
  <si>
    <t>DE189 TPY</t>
  </si>
  <si>
    <t>M/S pipe Ø273 x 10 mmT  length 916 mm</t>
  </si>
  <si>
    <t xml:space="preserve"> BD24025</t>
  </si>
  <si>
    <t>DE189 Seng Kang</t>
  </si>
  <si>
    <t>M/S pipe Ø273 x 8 mmT  length 916 mm</t>
  </si>
  <si>
    <t>DE189 Boon Lay</t>
  </si>
  <si>
    <t>M/S pipe Ø273 x 8 mmT  length 863.5 mm</t>
  </si>
  <si>
    <t>DE189 Clementi</t>
  </si>
  <si>
    <t>DE189 Serangoob</t>
  </si>
  <si>
    <t>DE189 AMK</t>
  </si>
  <si>
    <t>M/S pipe Ø219.1 x 16 mmT  length 916 mm</t>
  </si>
  <si>
    <t>PR25-304</t>
  </si>
  <si>
    <t>RWS Water World</t>
  </si>
  <si>
    <t xml:space="preserve">M/S plate 5' x 10' x 25mm s355 </t>
  </si>
  <si>
    <t>PR25-305</t>
  </si>
  <si>
    <t>M/S Angle Bar 42x42x3mm - length  6meter S355</t>
  </si>
  <si>
    <t>PR25-306</t>
  </si>
  <si>
    <t>Welding Rod RB-26 (2.6mm) per ctn</t>
  </si>
  <si>
    <t>Welding Rod RB-26 (3.2mm) per ctn</t>
  </si>
  <si>
    <t>Welding Rod LB-52 (3.2mm) per ctn</t>
  </si>
  <si>
    <t>PR25-307</t>
  </si>
  <si>
    <t xml:space="preserve">M/S Angle Bar 75 x 75 x 5mm - length 6 m </t>
  </si>
  <si>
    <t>M/S Hollow 125 x 125 x 5 mm - length 6 m</t>
  </si>
  <si>
    <t>PR25-308</t>
  </si>
  <si>
    <t>BD25225</t>
  </si>
  <si>
    <t>NAKANO - DC  Boon Lay</t>
  </si>
  <si>
    <t xml:space="preserve">SP30 3 Bollard array Rebar cage </t>
  </si>
  <si>
    <t>PR25-309</t>
  </si>
  <si>
    <t>CO2 cylinder</t>
  </si>
  <si>
    <t>O2 cylinder</t>
  </si>
  <si>
    <t>Da cylinder</t>
  </si>
  <si>
    <t>PR25-310</t>
  </si>
  <si>
    <t>Workshop</t>
  </si>
  <si>
    <t>Vacuum Machine  78 liter  Amount 1308</t>
  </si>
  <si>
    <t>Maintenance Team</t>
  </si>
  <si>
    <t>Vacuum Machine 78 liter  Amount 1308</t>
  </si>
  <si>
    <t>PR25-311</t>
  </si>
  <si>
    <t>S/S Plate 4'x 8' x 3mmT</t>
  </si>
  <si>
    <t>S/S Flat Bar 50 x 3 mmT - Length 6 m</t>
  </si>
  <si>
    <t>PR25-312</t>
  </si>
  <si>
    <t>PJ10726</t>
  </si>
  <si>
    <t xml:space="preserve">Clementi Close Metal </t>
  </si>
  <si>
    <t>S/S pipe  Ø 50 x 2mmT - Length 6m</t>
  </si>
  <si>
    <t>S/S pipe  Ø 20 x 2mmT - Length 6m</t>
  </si>
  <si>
    <t>S/S pipe  Ø 42 x 2mmT - Length 6m</t>
  </si>
  <si>
    <t xml:space="preserve">S/S Ellbow  Ø 50 x 2mmT </t>
  </si>
  <si>
    <t>PR26-001</t>
  </si>
  <si>
    <t>BDxxx26</t>
  </si>
  <si>
    <t>S/S pipe Ø 168.3 x 3mmT - length 6 m</t>
  </si>
  <si>
    <t>PR26-002</t>
  </si>
  <si>
    <t>Electical work for the new workshop</t>
  </si>
  <si>
    <t>PR26-003</t>
  </si>
  <si>
    <t xml:space="preserve">Foklift Rental 5 ton </t>
  </si>
  <si>
    <t>PR26-004</t>
  </si>
  <si>
    <t>S/S RHS 15 x 35 x 2 mm - length 6m (Hairline Finish)</t>
  </si>
  <si>
    <t>PR26-005</t>
  </si>
  <si>
    <t>M/S J-Bolt M24</t>
  </si>
  <si>
    <t>PR26-006</t>
  </si>
  <si>
    <t>Container office</t>
  </si>
  <si>
    <t>PR26-007</t>
  </si>
  <si>
    <t>Razor Mesh Fence Panel</t>
  </si>
  <si>
    <t>Anti-Climb Welded Wire Mesh Panel 1800 H</t>
  </si>
  <si>
    <t>Anti-Climb Welded Wire Mesh Panel 2100 H</t>
  </si>
  <si>
    <t>M/S ANGLE BAR 50x50x3mmT - length 12 m</t>
  </si>
  <si>
    <t>M/S SHS 75x75x3mmT - length 6 m</t>
  </si>
  <si>
    <t>M/S Flat Bar 50x3mmT - Length 12m</t>
  </si>
  <si>
    <t>M/S plate 8' x 4 x' 6mmT</t>
  </si>
  <si>
    <t>PR26-008</t>
  </si>
  <si>
    <t xml:space="preserve">M/S pipe Ø139.7 x 10 mmT  length 6m </t>
  </si>
  <si>
    <t xml:space="preserve">BD25626 </t>
  </si>
  <si>
    <t>PR26-009</t>
  </si>
  <si>
    <t>PR26-010</t>
  </si>
  <si>
    <t>PR26-011</t>
  </si>
  <si>
    <t>C821A</t>
  </si>
  <si>
    <t xml:space="preserve">S/S Bending and Cuting </t>
  </si>
  <si>
    <t>PR26-012</t>
  </si>
  <si>
    <t>PR26-013</t>
  </si>
  <si>
    <t>BD19121</t>
  </si>
  <si>
    <t>Gate Rope Cartridge</t>
  </si>
  <si>
    <t>PR26-014</t>
  </si>
  <si>
    <t>Strocke Cylinder (see attach picture)</t>
  </si>
  <si>
    <t>S/S Hex Bolt M48 x 100mm  SCREW THREAD PITCH 5MM</t>
  </si>
  <si>
    <t>Oilite Bush Bearing Ø 80 x 32mm  (see attach picture)</t>
  </si>
  <si>
    <t>Pin Assembly from (ATG Access)</t>
  </si>
  <si>
    <t>PR26-015</t>
  </si>
  <si>
    <t>PR26-016</t>
  </si>
  <si>
    <t>Threaded Conical Rubber Buffer</t>
  </si>
  <si>
    <t>PR26-017</t>
  </si>
  <si>
    <t xml:space="preserve">SP30 4 Bollard array Rebar cage </t>
  </si>
  <si>
    <t>PR26-018</t>
  </si>
  <si>
    <t>Control box engaraving Engraving</t>
  </si>
  <si>
    <t>PR26-019</t>
  </si>
  <si>
    <t>BD25726</t>
  </si>
  <si>
    <t>Shaw Tower</t>
  </si>
  <si>
    <t>M/S Plate 4' x 10'  x 25 mmT</t>
  </si>
  <si>
    <t>M/S Plate 4' x 8'  x 12 mmT</t>
  </si>
  <si>
    <t>M/S Plate 4' x 8'  x 6 mmT</t>
  </si>
  <si>
    <t>S/S Sleeve (see Attach Picture) - Hairline Finishes</t>
  </si>
  <si>
    <t>M16 × 3000 mm Anchor Rod, Grade 8.8, HDG</t>
  </si>
  <si>
    <t xml:space="preserve">M16 Nut </t>
  </si>
  <si>
    <t>M16 Washer</t>
  </si>
  <si>
    <t>PR26-020</t>
  </si>
  <si>
    <t>RTS</t>
  </si>
  <si>
    <t>M/S Angle Bar 50 x  50 x 5mmT - 6 m</t>
  </si>
  <si>
    <t>M/S Angle Bar 50 x  50 x 3mmT - 6 m</t>
  </si>
  <si>
    <t xml:space="preserve">M/S Round bar Ø 25 mm length 6m </t>
  </si>
  <si>
    <t>PR26-021</t>
  </si>
  <si>
    <t>S/S Sleeve (see Attach Picture) - satin finish</t>
  </si>
  <si>
    <t>M20 × 3000 mm Anchor Rod, Grade 8.8</t>
  </si>
  <si>
    <t xml:space="preserve">M20 Nut </t>
  </si>
  <si>
    <t>PR26-022</t>
  </si>
  <si>
    <t>Clementi Close</t>
  </si>
  <si>
    <t xml:space="preserve">SP30 4 array rebar cage </t>
  </si>
  <si>
    <t>PR26-023</t>
  </si>
  <si>
    <t>S/S M16 × 3000 mm Anchor Rod</t>
  </si>
  <si>
    <t>S/S M10 Nut</t>
  </si>
  <si>
    <t>S/S M10 Washer</t>
  </si>
  <si>
    <t>PR26-024</t>
  </si>
  <si>
    <t>M/S M10 Galvanized Hex Nut</t>
  </si>
  <si>
    <t>M/S M10 Galvanized Flat Washer</t>
  </si>
  <si>
    <t>M/S M10 × 45 mm Galvanized Hex Bolt</t>
  </si>
  <si>
    <t>M/S M8 × 15 mm Hex Bolt</t>
  </si>
  <si>
    <t>PR26-025</t>
  </si>
  <si>
    <t>0065/CH</t>
  </si>
  <si>
    <t>Checker plate 5' X 10' x 10 mmT</t>
  </si>
  <si>
    <t>0052/CH</t>
  </si>
  <si>
    <t>Checker plate 4' X 8' x 10 mmT</t>
  </si>
  <si>
    <t>Checker plate 8' X 20' x 12 mmT</t>
  </si>
  <si>
    <t>PR26-026</t>
  </si>
  <si>
    <t>3M (4081) Arrow Sticker 900 mm x 300 (attach pic sample)</t>
  </si>
  <si>
    <t xml:space="preserve">3M (4081) Arrow Sticker 720 mm x 300 </t>
  </si>
  <si>
    <t>PR26-027</t>
  </si>
  <si>
    <t>0044/CS</t>
  </si>
  <si>
    <t>M/S Plate 4' x 8'  x 25 mmT</t>
  </si>
  <si>
    <t>M/S Plate 4' x 8'  x 3 mmT</t>
  </si>
  <si>
    <t>0051/HH</t>
  </si>
  <si>
    <t>S/S Plate 4' x 8'  x 3 mmT</t>
  </si>
  <si>
    <t xml:space="preserve">S/S pipe Ø219 x 3 mmT  length 6m </t>
  </si>
  <si>
    <t>M20 Washer</t>
  </si>
  <si>
    <t>PR26-028</t>
  </si>
  <si>
    <t>0030/HH</t>
  </si>
  <si>
    <t>BD22524</t>
  </si>
  <si>
    <t>Serangoon Polyclinic</t>
  </si>
  <si>
    <t xml:space="preserve">Bollard lifting trolley </t>
  </si>
  <si>
    <t>PR26-029</t>
  </si>
  <si>
    <t>S/S Plate 4' x 8'  x 15 mmT S316</t>
  </si>
  <si>
    <t>PR26-030</t>
  </si>
  <si>
    <t>Grouting cement (Brand Davco)</t>
  </si>
  <si>
    <t>PR26-031</t>
  </si>
  <si>
    <t xml:space="preserve">SP30 rebar cage </t>
  </si>
  <si>
    <t>PR26-032</t>
  </si>
  <si>
    <t>0046/CH</t>
  </si>
  <si>
    <t>T5-ERS</t>
  </si>
  <si>
    <t>M/S SHS 200 x 200 x 8mm - 6 m</t>
  </si>
  <si>
    <t>M/S RHS 100 x 75 x 6mm - 6 m</t>
  </si>
  <si>
    <t>M/S SHS 75 x 75 x 3 mm - 6 m</t>
  </si>
  <si>
    <t>0047/AE</t>
  </si>
  <si>
    <t>M/S Angle Bar 65 x 65 x 6 mm - 6 m</t>
  </si>
  <si>
    <t>M/S Flat Bar 50 x 3 mm - 6m</t>
  </si>
  <si>
    <t>Ø 4 mm Wired Mesh 25 x 75 mm 5710 x 3100mm</t>
  </si>
  <si>
    <t>PR26-033</t>
  </si>
  <si>
    <t xml:space="preserve">Auto Bollard Bearing Sleeve (see Attach Picture) </t>
  </si>
  <si>
    <t>PR26-034</t>
  </si>
  <si>
    <t>0056/CS</t>
  </si>
  <si>
    <t>PR26-035</t>
  </si>
  <si>
    <t>0095/KS</t>
  </si>
  <si>
    <t xml:space="preserve">Shaw Tower </t>
  </si>
  <si>
    <t>PR26-036</t>
  </si>
  <si>
    <t>PR26-037</t>
  </si>
  <si>
    <t>0087/AE</t>
  </si>
  <si>
    <t>M/S Plate 5' x 10'  x 6 mmT</t>
  </si>
  <si>
    <t>PR26-038</t>
  </si>
  <si>
    <t xml:space="preserve">M/S Plate 8' x 20' x 15mm </t>
  </si>
  <si>
    <t>PR26-039</t>
  </si>
  <si>
    <t>0067/WK</t>
  </si>
  <si>
    <t xml:space="preserve">Da cylinder </t>
  </si>
  <si>
    <t xml:space="preserve">CO2 cylinder </t>
  </si>
  <si>
    <t>PR26-040</t>
  </si>
  <si>
    <t>0071/AE</t>
  </si>
  <si>
    <t>M/S ANGLE BAR 50x50x3mmT - length 6 m</t>
  </si>
  <si>
    <t>0072/CH</t>
  </si>
  <si>
    <t>M/S Flat Bar 50x3mmT - Length 6 m</t>
  </si>
  <si>
    <t>PR26-041</t>
  </si>
  <si>
    <t>0069/CS</t>
  </si>
  <si>
    <t xml:space="preserve">M/S pipe Ø168.3 x 8 mmT  length 6m </t>
  </si>
  <si>
    <t>PR26-042</t>
  </si>
  <si>
    <t>0070/HG</t>
  </si>
  <si>
    <t>Rebar Ø10mm x 6m</t>
  </si>
  <si>
    <t>Rebar Ø13mm x 6m</t>
  </si>
  <si>
    <t>PR26-043</t>
  </si>
  <si>
    <t>M/S pipe Ø219 x 10 mmT - length 1650mm</t>
  </si>
  <si>
    <t>PR26-044</t>
  </si>
  <si>
    <t>0079/PA</t>
  </si>
  <si>
    <t>Blocker Rebar Mesh</t>
  </si>
  <si>
    <t>0078/RI</t>
  </si>
  <si>
    <t>Rebar Hoops</t>
  </si>
  <si>
    <t>PR26-045</t>
  </si>
  <si>
    <t>0086/RI</t>
  </si>
  <si>
    <t xml:space="preserve">Rebar 3 array </t>
  </si>
  <si>
    <t xml:space="preserve">Rebar 4 array </t>
  </si>
  <si>
    <t>PR26-046</t>
  </si>
  <si>
    <t>0081/CH</t>
  </si>
  <si>
    <t xml:space="preserve">M/S SHS 200 x 200 x 10 mm - 6 m </t>
  </si>
  <si>
    <t>M/S PFC C-Channel 100 x 50 x 5 mmT - 6m</t>
  </si>
  <si>
    <t>M/S RHS 100 x 50 x 5mmT - 12m (change to 6 m)</t>
  </si>
  <si>
    <t>M/S RHS 100 x 50 x 5mmT - 6m</t>
  </si>
  <si>
    <t>M/S RHS 50 x 25 x 3mmT - 12m (change to 6 m)</t>
  </si>
  <si>
    <t>M/S Angle Bar 50 x 50 x 5 mmT - 12m (change to 6 m)</t>
  </si>
  <si>
    <t>PR26-047</t>
  </si>
  <si>
    <t>0080/AE</t>
  </si>
  <si>
    <t>M/S Angle Bar 50 x 50 x 5 mmT</t>
  </si>
  <si>
    <r>
      <t xml:space="preserve">M/S Round bar Ø 38 mm length 6m </t>
    </r>
    <r>
      <rPr>
        <sz val="10"/>
        <color rgb="FF000000"/>
        <rFont val="Calibri"/>
        <family val="2"/>
      </rPr>
      <t>(polished surface)</t>
    </r>
  </si>
  <si>
    <t xml:space="preserve">M/S Round bar Ø 50 mm length 6m </t>
  </si>
  <si>
    <t>PR26-048</t>
  </si>
  <si>
    <t>0084/IS</t>
  </si>
  <si>
    <t>M20 × 3000 mm Threaded Rod, Grade 8.8</t>
  </si>
  <si>
    <t>PR26-049</t>
  </si>
  <si>
    <t>0089/RI</t>
  </si>
  <si>
    <t xml:space="preserve">Rebar 4 array -Special </t>
  </si>
  <si>
    <t xml:space="preserve">Rebar 3 array - Special </t>
  </si>
  <si>
    <t>PR26-050</t>
  </si>
  <si>
    <t>0085/AE</t>
  </si>
  <si>
    <t xml:space="preserve">M/S Plate 8' x 20' x 50mm </t>
  </si>
  <si>
    <t>PR26-051</t>
  </si>
  <si>
    <t>0093/FY</t>
  </si>
  <si>
    <t xml:space="preserve">M/S Chain, Ø 20 mm - length 60 m </t>
  </si>
  <si>
    <t>PR26-052</t>
  </si>
  <si>
    <t>0092/WK</t>
  </si>
  <si>
    <t>PR26-053</t>
  </si>
  <si>
    <t>0094/CH</t>
  </si>
  <si>
    <t xml:space="preserve">M/S Flat bar 50 x 3 mmT </t>
  </si>
  <si>
    <t xml:space="preserve">M/S Flat bar 50 x 6 mmT </t>
  </si>
  <si>
    <t xml:space="preserve">M/S Flat bar 50 x 9 mmT </t>
  </si>
  <si>
    <t>00</t>
  </si>
  <si>
    <t xml:space="preserve">M10 Galvanized Bolt Length 30 mm </t>
  </si>
  <si>
    <t xml:space="preserve">M10 Galvanized Nut </t>
  </si>
  <si>
    <t>M10 Galvanized Washer</t>
  </si>
  <si>
    <t xml:space="preserve">S/S M10 Nut </t>
  </si>
  <si>
    <t>S/S M10 × 3000 mm Threaded Rod</t>
  </si>
  <si>
    <t>PR26-054</t>
  </si>
  <si>
    <t>0105/HS</t>
  </si>
  <si>
    <t>M/S Ibeam 254 x 102 UB28</t>
  </si>
  <si>
    <t>0106/CH</t>
  </si>
  <si>
    <t>M/S Angle bar 150 x 75 x 10mmT - length 6 m</t>
  </si>
  <si>
    <t>M/S Ø 130 Round bar - length 1 m</t>
  </si>
  <si>
    <t>M/S tube 279 OD , 229 ID - Length 1295 mm</t>
  </si>
  <si>
    <t>PR26-055</t>
  </si>
  <si>
    <t>S/S Plate 4 ' x 8 ' x 15 mmT</t>
  </si>
  <si>
    <t>PR26-056</t>
  </si>
  <si>
    <t>0104/TC</t>
  </si>
  <si>
    <t>Welding Rod RB-26 (2.6mm)</t>
  </si>
  <si>
    <t>Welding Rod RB-26 (3.2mm)</t>
  </si>
  <si>
    <t xml:space="preserve">Atlantic CHT711 (E71T-1C) flux core wire -1.2mm </t>
  </si>
  <si>
    <t>PR26-057</t>
  </si>
  <si>
    <t>0103/RI</t>
  </si>
  <si>
    <t xml:space="preserve">Rebar 5 array - Special </t>
  </si>
  <si>
    <t>PR26-058</t>
  </si>
  <si>
    <t>0111/MC</t>
  </si>
  <si>
    <t xml:space="preserve">S/S sleeve Coating </t>
  </si>
  <si>
    <t>PR26-059</t>
  </si>
  <si>
    <t xml:space="preserve">Rebar 5 array </t>
  </si>
  <si>
    <t>PR26-060</t>
  </si>
  <si>
    <t xml:space="preserve">Rebar 3 array -Special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</si>
</sst>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809]d\ mmm\ yyyy;@"/>
  </numFmts>
  <fonts count="8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1"/>
      <color theme="1"/>
      <name val="Aptos Display"/>
      <scheme val="major"/>
    </font>
    <font>
      <sz val="11"/>
      <color rgb="FF000A1E"/>
      <name val="Aptos Display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vertical="center"/>
    </xf>
    <xf numFmtId="17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4" fontId="0" fillId="0" borderId="0" xfId="0" applyNumberFormat="1" applyAlignment="1">
      <alignment vertical="center"/>
    </xf>
    <xf numFmtId="164" fontId="0" fillId="2" borderId="0" xfId="0" applyNumberFormat="1" applyFill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2" borderId="0" xfId="0" applyNumberFormat="1" applyFont="1" applyFill="1" applyAlignment="1">
      <alignment vertic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vertical="center"/>
    </xf>
    <xf numFmtId="49" fontId="0" fillId="0" borderId="0" xfId="0" applyNumberFormat="1" applyAlignment="1">
      <alignment horizontal="center" vertical="center"/>
    </xf>
    <xf numFmtId="0" fontId="6" fillId="0" borderId="1" xfId="0" applyFont="1" applyBorder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2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-14809]d\ mmm\ yyyy;@"/>
      <alignment horizontal="general" vertical="center" textRotation="0" wrapText="0" indent="0" justifyLastLine="0" shrinkToFit="0" readingOrder="0"/>
    </dxf>
    <dxf>
      <numFmt numFmtId="164" formatCode="[$-14809]d\ mmm\ yyyy;@"/>
      <alignment horizontal="center" vertical="center" textRotation="0" wrapText="0" indent="0" justifyLastLine="0" shrinkToFit="0" readingOrder="0"/>
    </dxf>
    <dxf>
      <font>
        <name val="Aptos Display"/>
        <scheme val="major"/>
      </font>
      <numFmt numFmtId="30" formatCode="@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468052-D802-4EC1-A54B-3AD8C5DBB360}" name="Table22" displayName="Table22" ref="A1:J297" totalsRowShown="0" headerRowDxfId="11" dataDxfId="10">
  <autoFilter ref="A1:J297" xr:uid="{09BACCB7-2FEB-47E7-92E5-2D26522C085A}"/>
  <tableColumns count="10">
    <tableColumn id="1" xr3:uid="{EA946422-CB36-4123-8E4B-B82E03BD2331}" name="PR Number" dataDxfId="9"/>
    <tableColumn id="16" xr3:uid="{603B7ADE-C693-43FF-9E94-AA4116012823}" name="PO Number" dataDxfId="8"/>
    <tableColumn id="2" xr3:uid="{41B9A4E0-1D16-4B11-B7A0-C8EA31537CCD}" name="PR Request Date" dataDxfId="7"/>
    <tableColumn id="5" xr3:uid="{152F8E86-CBA0-4F10-B285-903552476BAB}" name="Project" dataDxfId="6"/>
    <tableColumn id="14" xr3:uid="{17CBABE2-031D-4C54-93BF-571746D09592}" name="Site" dataDxfId="5"/>
    <tableColumn id="4" xr3:uid="{D4525D10-71CF-437B-B995-CA45749C2A41}" name="Discription" dataDxfId="4"/>
    <tableColumn id="13" xr3:uid="{9BC79C26-0E44-4C83-AA8F-2A4A4F43C518}" name="Qty" dataDxfId="3"/>
    <tableColumn id="15" xr3:uid="{3AA5E06F-C19F-4CA7-8258-5ED681D8E0FE}" name="Qty arrive" dataDxfId="2"/>
    <tableColumn id="11" xr3:uid="{8B76FF0C-6A80-4635-AAC3-0EF2C15619CF}" name="Arrive date" dataDxfId="1"/>
    <tableColumn id="17" xr3:uid="{6BBCB61D-DA5C-414B-8087-C8CC0B115747}" name="Outstanding " dataDxfId="0">
      <calculatedColumnFormula>Table22[[#This Row],[Qty]]-Table22[[#This Row],[Qty arrive]]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1327-438A-42FD-B9CE-2FE53C57CE41}">
  <dimension ref="A1:J297"/>
  <sheetViews>
    <sheetView tabSelected="1" topLeftCell="A279" workbookViewId="0">
      <selection activeCell="D292" sqref="D292"/>
    </sheetView>
  </sheetViews>
  <sheetFormatPr defaultRowHeight="15"/>
  <cols>
    <col min="1" max="1" width="12.42578125" style="8" customWidth="1"/>
    <col min="2" max="2" width="11.140625" style="25" bestFit="1" customWidth="1"/>
    <col min="3" max="3" width="24.5703125" customWidth="1"/>
    <col min="4" max="4" width="20.85546875" style="9" customWidth="1"/>
    <col min="5" max="5" width="21.85546875" style="5" bestFit="1" customWidth="1"/>
    <col min="6" max="6" width="50.5703125" bestFit="1" customWidth="1"/>
    <col min="7" max="7" width="13.7109375" customWidth="1"/>
    <col min="8" max="8" width="12" bestFit="1" customWidth="1"/>
    <col min="9" max="9" width="13" bestFit="1" customWidth="1"/>
    <col min="10" max="10" width="14.7109375" bestFit="1" customWidth="1"/>
  </cols>
  <sheetData>
    <row r="1" spans="1:10">
      <c r="A1" s="1" t="s">
        <v>0</v>
      </c>
      <c r="B1" s="21" t="s">
        <v>1</v>
      </c>
      <c r="C1" s="1" t="s">
        <v>2</v>
      </c>
      <c r="D1" s="9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21"/>
      <c r="C2" s="2">
        <v>45919</v>
      </c>
      <c r="D2" s="9" t="s">
        <v>11</v>
      </c>
      <c r="E2" s="1"/>
      <c r="F2" s="1"/>
      <c r="G2" s="1"/>
      <c r="H2" s="1"/>
      <c r="I2" s="1"/>
      <c r="J2" s="1">
        <f>Table22[[#This Row],[Qty]]-Table22[[#This Row],[Qty arrive]]</f>
        <v>0</v>
      </c>
    </row>
    <row r="3" spans="1:10">
      <c r="A3" s="1" t="s">
        <v>12</v>
      </c>
      <c r="B3" s="21"/>
      <c r="C3" s="2">
        <v>45922</v>
      </c>
      <c r="D3" s="9" t="s">
        <v>13</v>
      </c>
      <c r="E3" s="1"/>
      <c r="F3" s="1"/>
      <c r="G3" s="1"/>
      <c r="H3" s="1"/>
      <c r="I3" s="1"/>
      <c r="J3" s="1">
        <f>Table22[[#This Row],[Qty]]-Table22[[#This Row],[Qty arrive]]</f>
        <v>0</v>
      </c>
    </row>
    <row r="4" spans="1:10">
      <c r="A4" s="1" t="s">
        <v>14</v>
      </c>
      <c r="B4" s="21"/>
      <c r="C4" s="2">
        <v>45944</v>
      </c>
      <c r="E4" s="1"/>
      <c r="F4" s="1"/>
      <c r="G4" s="1"/>
      <c r="H4" s="1"/>
      <c r="I4" s="1"/>
      <c r="J4" s="1">
        <f>Table22[[#This Row],[Qty]]-Table22[[#This Row],[Qty arrive]]</f>
        <v>0</v>
      </c>
    </row>
    <row r="5" spans="1:10">
      <c r="A5" s="1" t="s">
        <v>15</v>
      </c>
      <c r="B5" s="21"/>
      <c r="C5" s="2">
        <v>45944</v>
      </c>
      <c r="E5" s="1"/>
      <c r="F5" s="1"/>
      <c r="G5" s="1"/>
      <c r="H5" s="1"/>
      <c r="I5" s="1"/>
      <c r="J5" s="1">
        <f>Table22[[#This Row],[Qty]]-Table22[[#This Row],[Qty arrive]]</f>
        <v>0</v>
      </c>
    </row>
    <row r="6" spans="1:10">
      <c r="A6" s="1" t="s">
        <v>16</v>
      </c>
      <c r="B6" s="21"/>
      <c r="C6" s="2">
        <v>45944</v>
      </c>
      <c r="D6" s="18"/>
      <c r="E6" s="3"/>
      <c r="F6" s="1"/>
      <c r="G6" s="1"/>
      <c r="H6" s="1"/>
      <c r="I6" s="1"/>
      <c r="J6" s="1">
        <f>Table22[[#This Row],[Qty]]-Table22[[#This Row],[Qty arrive]]</f>
        <v>0</v>
      </c>
    </row>
    <row r="7" spans="1:10">
      <c r="A7" s="1" t="s">
        <v>17</v>
      </c>
      <c r="B7" s="21"/>
      <c r="C7" s="2">
        <v>45945</v>
      </c>
      <c r="E7" s="1"/>
      <c r="F7" s="1"/>
      <c r="G7" s="1"/>
      <c r="H7" s="1"/>
      <c r="I7" s="1"/>
      <c r="J7" s="1">
        <f>Table22[[#This Row],[Qty]]-Table22[[#This Row],[Qty arrive]]</f>
        <v>0</v>
      </c>
    </row>
    <row r="8" spans="1:10">
      <c r="A8" s="1" t="s">
        <v>18</v>
      </c>
      <c r="B8" s="21"/>
      <c r="C8" s="2">
        <v>45945</v>
      </c>
      <c r="E8" s="1"/>
      <c r="F8" s="1"/>
      <c r="G8" s="1"/>
      <c r="H8" s="1"/>
      <c r="I8" s="1"/>
      <c r="J8" s="1">
        <f>Table22[[#This Row],[Qty]]-Table22[[#This Row],[Qty arrive]]</f>
        <v>0</v>
      </c>
    </row>
    <row r="9" spans="1:10">
      <c r="A9" s="1" t="s">
        <v>19</v>
      </c>
      <c r="B9" s="21"/>
      <c r="C9" s="2">
        <v>45945</v>
      </c>
      <c r="E9" s="1"/>
      <c r="F9" s="1"/>
      <c r="G9" s="1"/>
      <c r="H9" s="1"/>
      <c r="I9" s="1"/>
      <c r="J9" s="1">
        <f>Table22[[#This Row],[Qty]]-Table22[[#This Row],[Qty arrive]]</f>
        <v>0</v>
      </c>
    </row>
    <row r="10" spans="1:10">
      <c r="A10" s="1" t="s">
        <v>20</v>
      </c>
      <c r="B10" s="21"/>
      <c r="C10" s="2">
        <v>45945</v>
      </c>
      <c r="E10" s="1"/>
      <c r="F10" s="1"/>
      <c r="G10" s="1"/>
      <c r="H10" s="1"/>
      <c r="I10" s="1"/>
      <c r="J10" s="1">
        <f>Table22[[#This Row],[Qty]]-Table22[[#This Row],[Qty arrive]]</f>
        <v>0</v>
      </c>
    </row>
    <row r="11" spans="1:10">
      <c r="A11" s="1" t="s">
        <v>21</v>
      </c>
      <c r="B11" s="21"/>
      <c r="C11" s="2">
        <v>45947</v>
      </c>
      <c r="E11" s="1"/>
      <c r="F11" s="1"/>
      <c r="G11" s="1"/>
      <c r="H11" s="1"/>
      <c r="I11" s="1"/>
      <c r="J11" s="1">
        <f>Table22[[#This Row],[Qty]]-Table22[[#This Row],[Qty arrive]]</f>
        <v>0</v>
      </c>
    </row>
    <row r="12" spans="1:10">
      <c r="A12" s="1" t="s">
        <v>22</v>
      </c>
      <c r="B12" s="21"/>
      <c r="C12" s="2">
        <v>45947</v>
      </c>
      <c r="E12" s="1"/>
      <c r="F12" s="1"/>
      <c r="G12" s="1"/>
      <c r="H12" s="1"/>
      <c r="I12" s="1"/>
      <c r="J12" s="1">
        <f>Table22[[#This Row],[Qty]]-Table22[[#This Row],[Qty arrive]]</f>
        <v>0</v>
      </c>
    </row>
    <row r="13" spans="1:10">
      <c r="A13" s="1" t="s">
        <v>23</v>
      </c>
      <c r="B13" s="21"/>
      <c r="C13" s="2">
        <v>45947</v>
      </c>
      <c r="E13" s="1"/>
      <c r="F13" s="1"/>
      <c r="G13" s="1"/>
      <c r="H13" s="1"/>
      <c r="I13" s="1"/>
      <c r="J13" s="1">
        <f>Table22[[#This Row],[Qty]]-Table22[[#This Row],[Qty arrive]]</f>
        <v>0</v>
      </c>
    </row>
    <row r="14" spans="1:10">
      <c r="A14" s="1" t="s">
        <v>24</v>
      </c>
      <c r="B14" s="21"/>
      <c r="C14" s="2">
        <v>45951</v>
      </c>
      <c r="E14" s="1"/>
      <c r="F14" s="1"/>
      <c r="G14" s="1"/>
      <c r="H14" s="1"/>
      <c r="I14" s="1"/>
      <c r="J14" s="1">
        <f>Table22[[#This Row],[Qty]]-Table22[[#This Row],[Qty arrive]]</f>
        <v>0</v>
      </c>
    </row>
    <row r="15" spans="1:10">
      <c r="A15" s="1" t="s">
        <v>25</v>
      </c>
      <c r="B15" s="21"/>
      <c r="C15" s="2">
        <v>45951</v>
      </c>
      <c r="E15" s="1"/>
      <c r="F15" s="1"/>
      <c r="G15" s="1"/>
      <c r="H15" s="1"/>
      <c r="I15" s="1"/>
      <c r="J15" s="1">
        <f>Table22[[#This Row],[Qty]]-Table22[[#This Row],[Qty arrive]]</f>
        <v>0</v>
      </c>
    </row>
    <row r="16" spans="1:10">
      <c r="A16" s="1" t="s">
        <v>26</v>
      </c>
      <c r="B16" s="21"/>
      <c r="C16" s="2">
        <v>45954</v>
      </c>
      <c r="D16" s="9" t="s">
        <v>27</v>
      </c>
      <c r="E16" s="1" t="s">
        <v>28</v>
      </c>
      <c r="F16" s="4" t="s">
        <v>29</v>
      </c>
      <c r="G16" s="1">
        <v>3</v>
      </c>
      <c r="H16" s="1">
        <v>3</v>
      </c>
      <c r="I16" s="10">
        <v>46327</v>
      </c>
      <c r="J16" s="1">
        <f>Table22[[#This Row],[Qty]]-Table22[[#This Row],[Qty arrive]]</f>
        <v>0</v>
      </c>
    </row>
    <row r="17" spans="1:10">
      <c r="A17" s="1" t="s">
        <v>30</v>
      </c>
      <c r="B17" s="21"/>
      <c r="C17" s="2"/>
      <c r="E17" s="1"/>
      <c r="F17" s="1"/>
      <c r="G17" s="1"/>
      <c r="H17" s="1"/>
      <c r="I17" s="1"/>
      <c r="J17" s="1">
        <f>Table22[[#This Row],[Qty]]-Table22[[#This Row],[Qty arrive]]</f>
        <v>0</v>
      </c>
    </row>
    <row r="18" spans="1:10">
      <c r="A18" s="1" t="s">
        <v>31</v>
      </c>
      <c r="B18" s="21"/>
      <c r="C18" s="2">
        <v>45959</v>
      </c>
      <c r="D18" s="9" t="s">
        <v>32</v>
      </c>
      <c r="E18" s="1" t="s">
        <v>33</v>
      </c>
      <c r="F18" s="4" t="s">
        <v>34</v>
      </c>
      <c r="G18" s="1">
        <v>1</v>
      </c>
      <c r="H18" s="1">
        <v>1</v>
      </c>
      <c r="I18" s="1"/>
      <c r="J18" s="1">
        <f>Table22[[#This Row],[Qty]]-Table22[[#This Row],[Qty arrive]]</f>
        <v>0</v>
      </c>
    </row>
    <row r="19" spans="1:10">
      <c r="A19" s="1" t="s">
        <v>31</v>
      </c>
      <c r="B19" s="21"/>
      <c r="C19" s="2">
        <v>45959</v>
      </c>
      <c r="D19" s="9" t="s">
        <v>32</v>
      </c>
      <c r="E19" s="1" t="s">
        <v>33</v>
      </c>
      <c r="F19" s="4" t="s">
        <v>35</v>
      </c>
      <c r="G19" s="1">
        <v>5</v>
      </c>
      <c r="H19" s="1">
        <v>5</v>
      </c>
      <c r="I19" s="1"/>
      <c r="J19" s="1">
        <f>Table22[[#This Row],[Qty]]-Table22[[#This Row],[Qty arrive]]</f>
        <v>0</v>
      </c>
    </row>
    <row r="20" spans="1:10">
      <c r="A20" s="1" t="s">
        <v>31</v>
      </c>
      <c r="B20" s="21"/>
      <c r="C20" s="2">
        <v>45959</v>
      </c>
      <c r="D20" s="9" t="s">
        <v>32</v>
      </c>
      <c r="E20" s="1" t="s">
        <v>33</v>
      </c>
      <c r="F20" s="4" t="s">
        <v>36</v>
      </c>
      <c r="G20" s="1">
        <v>110</v>
      </c>
      <c r="H20" s="1">
        <v>150</v>
      </c>
      <c r="I20" s="1"/>
      <c r="J20" s="1">
        <f>Table22[[#This Row],[Qty]]-Table22[[#This Row],[Qty arrive]]</f>
        <v>-40</v>
      </c>
    </row>
    <row r="21" spans="1:10">
      <c r="A21" s="1" t="s">
        <v>37</v>
      </c>
      <c r="B21" s="21"/>
      <c r="C21" s="2">
        <v>45950</v>
      </c>
      <c r="D21" s="9" t="s">
        <v>38</v>
      </c>
      <c r="E21" s="1" t="s">
        <v>39</v>
      </c>
      <c r="F21" s="4" t="s">
        <v>40</v>
      </c>
      <c r="G21" s="1">
        <v>3</v>
      </c>
      <c r="H21" s="1">
        <v>3</v>
      </c>
      <c r="I21" s="1"/>
      <c r="J21" s="1">
        <f>Table22[[#This Row],[Qty]]-Table22[[#This Row],[Qty arrive]]</f>
        <v>0</v>
      </c>
    </row>
    <row r="22" spans="1:10" ht="16.5">
      <c r="A22" s="1" t="s">
        <v>41</v>
      </c>
      <c r="B22" s="21"/>
      <c r="C22" s="2">
        <v>45960</v>
      </c>
      <c r="D22" s="9" t="s">
        <v>42</v>
      </c>
      <c r="E22" s="1" t="s">
        <v>43</v>
      </c>
      <c r="F22" s="4" t="s">
        <v>44</v>
      </c>
      <c r="G22" s="6">
        <v>14</v>
      </c>
      <c r="H22" s="1">
        <v>14</v>
      </c>
      <c r="I22" s="1"/>
      <c r="J22" s="1">
        <f>Table22[[#This Row],[Qty]]-Table22[[#This Row],[Qty arrive]]</f>
        <v>0</v>
      </c>
    </row>
    <row r="23" spans="1:10">
      <c r="A23" s="1" t="s">
        <v>45</v>
      </c>
      <c r="B23" s="21"/>
      <c r="C23" s="2">
        <v>45960</v>
      </c>
      <c r="D23" s="9" t="s">
        <v>27</v>
      </c>
      <c r="E23" s="1" t="s">
        <v>46</v>
      </c>
      <c r="F23" s="4" t="s">
        <v>47</v>
      </c>
      <c r="G23" s="1">
        <v>4</v>
      </c>
      <c r="H23" s="1">
        <v>4</v>
      </c>
      <c r="I23" s="1"/>
      <c r="J23" s="1">
        <f>Table22[[#This Row],[Qty]]-Table22[[#This Row],[Qty arrive]]</f>
        <v>0</v>
      </c>
    </row>
    <row r="24" spans="1:10">
      <c r="A24" s="1" t="s">
        <v>48</v>
      </c>
      <c r="B24" s="21"/>
      <c r="C24" s="2">
        <v>45960</v>
      </c>
      <c r="D24" s="9" t="s">
        <v>42</v>
      </c>
      <c r="E24" s="1" t="s">
        <v>43</v>
      </c>
      <c r="F24" s="4" t="s">
        <v>49</v>
      </c>
      <c r="G24" s="1">
        <v>330</v>
      </c>
      <c r="H24" s="1"/>
      <c r="I24" s="1"/>
      <c r="J24" s="1">
        <f>Table22[[#This Row],[Qty]]-Table22[[#This Row],[Qty arrive]]</f>
        <v>330</v>
      </c>
    </row>
    <row r="25" spans="1:10">
      <c r="A25" s="1" t="s">
        <v>50</v>
      </c>
      <c r="B25" s="21"/>
      <c r="C25" s="2">
        <v>45961</v>
      </c>
      <c r="D25" s="9" t="s">
        <v>51</v>
      </c>
      <c r="E25" s="1" t="s">
        <v>52</v>
      </c>
      <c r="F25" s="4" t="s">
        <v>53</v>
      </c>
      <c r="G25" s="1">
        <v>10</v>
      </c>
      <c r="H25" s="1"/>
      <c r="I25" s="1"/>
      <c r="J25" s="1">
        <f>Table22[[#This Row],[Qty]]-Table22[[#This Row],[Qty arrive]]</f>
        <v>10</v>
      </c>
    </row>
    <row r="26" spans="1:10">
      <c r="A26" s="1" t="s">
        <v>50</v>
      </c>
      <c r="B26" s="21"/>
      <c r="C26" s="2">
        <v>45961</v>
      </c>
      <c r="D26" s="9" t="s">
        <v>51</v>
      </c>
      <c r="E26" s="1" t="s">
        <v>52</v>
      </c>
      <c r="F26" s="4" t="s">
        <v>54</v>
      </c>
      <c r="G26" s="1">
        <v>10</v>
      </c>
      <c r="H26" s="1"/>
      <c r="I26" s="1"/>
      <c r="J26" s="1">
        <f>Table22[[#This Row],[Qty]]-Table22[[#This Row],[Qty arrive]]</f>
        <v>10</v>
      </c>
    </row>
    <row r="27" spans="1:10">
      <c r="A27" s="1" t="s">
        <v>50</v>
      </c>
      <c r="B27" s="21"/>
      <c r="C27" s="2">
        <v>45961</v>
      </c>
      <c r="D27" s="9" t="s">
        <v>51</v>
      </c>
      <c r="E27" s="1" t="s">
        <v>52</v>
      </c>
      <c r="F27" s="4" t="s">
        <v>55</v>
      </c>
      <c r="G27" s="1">
        <v>10</v>
      </c>
      <c r="H27" s="1"/>
      <c r="I27" s="1"/>
      <c r="J27" s="1">
        <f>Table22[[#This Row],[Qty]]-Table22[[#This Row],[Qty arrive]]</f>
        <v>10</v>
      </c>
    </row>
    <row r="28" spans="1:10">
      <c r="A28" s="1" t="s">
        <v>56</v>
      </c>
      <c r="B28" s="21"/>
      <c r="C28" s="2">
        <v>45964</v>
      </c>
      <c r="D28" s="9" t="s">
        <v>57</v>
      </c>
      <c r="E28" s="1" t="s">
        <v>58</v>
      </c>
      <c r="F28" s="4" t="s">
        <v>47</v>
      </c>
      <c r="G28" s="1">
        <v>9</v>
      </c>
      <c r="H28" s="1">
        <v>1</v>
      </c>
      <c r="I28" s="1"/>
      <c r="J28" s="1">
        <f>Table22[[#This Row],[Qty]]-Table22[[#This Row],[Qty arrive]]</f>
        <v>8</v>
      </c>
    </row>
    <row r="29" spans="1:10">
      <c r="A29" s="1" t="s">
        <v>56</v>
      </c>
      <c r="B29" s="21"/>
      <c r="C29" s="2">
        <v>45964</v>
      </c>
      <c r="D29" s="9" t="s">
        <v>57</v>
      </c>
      <c r="E29" s="1" t="s">
        <v>58</v>
      </c>
      <c r="F29" s="4" t="s">
        <v>59</v>
      </c>
      <c r="G29" s="1">
        <v>1</v>
      </c>
      <c r="H29" s="1"/>
      <c r="I29" s="1"/>
      <c r="J29" s="1">
        <f>Table22[[#This Row],[Qty]]-Table22[[#This Row],[Qty arrive]]</f>
        <v>1</v>
      </c>
    </row>
    <row r="30" spans="1:10">
      <c r="A30" s="1" t="s">
        <v>56</v>
      </c>
      <c r="B30" s="21"/>
      <c r="C30" s="2">
        <v>45964</v>
      </c>
      <c r="D30" s="9" t="s">
        <v>57</v>
      </c>
      <c r="E30" s="1" t="s">
        <v>58</v>
      </c>
      <c r="F30" s="4" t="s">
        <v>60</v>
      </c>
      <c r="G30" s="1">
        <v>2</v>
      </c>
      <c r="H30" s="1"/>
      <c r="I30" s="1"/>
      <c r="J30" s="1">
        <f>Table22[[#This Row],[Qty]]-Table22[[#This Row],[Qty arrive]]</f>
        <v>2</v>
      </c>
    </row>
    <row r="31" spans="1:10">
      <c r="A31" s="1" t="s">
        <v>61</v>
      </c>
      <c r="B31" s="21"/>
      <c r="C31" s="2">
        <v>45965</v>
      </c>
      <c r="D31" s="9" t="s">
        <v>62</v>
      </c>
      <c r="E31" s="1" t="s">
        <v>63</v>
      </c>
      <c r="F31" s="9" t="s">
        <v>64</v>
      </c>
      <c r="G31" s="1">
        <v>15</v>
      </c>
      <c r="H31" s="1">
        <v>15</v>
      </c>
      <c r="I31" s="1"/>
      <c r="J31" s="1">
        <f>Table22[[#This Row],[Qty]]-Table22[[#This Row],[Qty arrive]]</f>
        <v>0</v>
      </c>
    </row>
    <row r="32" spans="1:10">
      <c r="A32" s="1" t="s">
        <v>65</v>
      </c>
      <c r="B32" s="21"/>
      <c r="C32" s="2">
        <v>45965</v>
      </c>
      <c r="D32" s="9" t="s">
        <v>42</v>
      </c>
      <c r="E32" s="1" t="s">
        <v>43</v>
      </c>
      <c r="F32" s="9" t="s">
        <v>66</v>
      </c>
      <c r="G32" s="1">
        <v>4</v>
      </c>
      <c r="H32" s="1">
        <v>4</v>
      </c>
      <c r="I32" s="1"/>
      <c r="J32" s="1">
        <f>Table22[[#This Row],[Qty]]-Table22[[#This Row],[Qty arrive]]</f>
        <v>0</v>
      </c>
    </row>
    <row r="33" spans="1:10">
      <c r="A33" s="1" t="s">
        <v>67</v>
      </c>
      <c r="B33" s="21"/>
      <c r="C33" s="2">
        <v>45965</v>
      </c>
      <c r="D33" s="9" t="s">
        <v>68</v>
      </c>
      <c r="E33" s="1" t="s">
        <v>69</v>
      </c>
      <c r="F33" s="9" t="s">
        <v>70</v>
      </c>
      <c r="G33" s="1"/>
      <c r="H33" s="1"/>
      <c r="I33" s="1"/>
      <c r="J33" s="1">
        <f>Table22[[#This Row],[Qty]]-Table22[[#This Row],[Qty arrive]]</f>
        <v>0</v>
      </c>
    </row>
    <row r="34" spans="1:10">
      <c r="A34" s="1" t="s">
        <v>71</v>
      </c>
      <c r="B34" s="21"/>
      <c r="C34" s="2">
        <v>45965</v>
      </c>
      <c r="D34" s="9" t="s">
        <v>72</v>
      </c>
      <c r="E34" s="1" t="s">
        <v>73</v>
      </c>
      <c r="F34" s="9" t="s">
        <v>74</v>
      </c>
      <c r="G34" s="1">
        <v>70</v>
      </c>
      <c r="H34" s="1">
        <v>70</v>
      </c>
      <c r="I34" s="7">
        <v>45966</v>
      </c>
      <c r="J34" s="1">
        <f>Table22[[#This Row],[Qty]]-Table22[[#This Row],[Qty arrive]]</f>
        <v>0</v>
      </c>
    </row>
    <row r="35" spans="1:10">
      <c r="A35" s="1" t="s">
        <v>75</v>
      </c>
      <c r="B35" s="21"/>
      <c r="C35" s="2">
        <v>45965</v>
      </c>
      <c r="D35" s="9" t="s">
        <v>51</v>
      </c>
      <c r="E35" s="1" t="s">
        <v>52</v>
      </c>
      <c r="F35" s="9" t="s">
        <v>76</v>
      </c>
      <c r="G35" s="1">
        <v>1</v>
      </c>
      <c r="H35" s="1"/>
      <c r="I35" s="1"/>
      <c r="J35" s="1">
        <f>Table22[[#This Row],[Qty]]-Table22[[#This Row],[Qty arrive]]</f>
        <v>1</v>
      </c>
    </row>
    <row r="36" spans="1:10">
      <c r="A36" s="1" t="s">
        <v>77</v>
      </c>
      <c r="B36" s="21"/>
      <c r="C36" s="2">
        <v>45966</v>
      </c>
      <c r="D36" s="19" t="s">
        <v>38</v>
      </c>
      <c r="E36" s="1" t="s">
        <v>39</v>
      </c>
      <c r="F36" s="9" t="s">
        <v>78</v>
      </c>
      <c r="G36" s="1">
        <v>2</v>
      </c>
      <c r="H36" s="1">
        <v>2</v>
      </c>
      <c r="I36" s="1"/>
      <c r="J36" s="1">
        <f>Table22[[#This Row],[Qty]]-Table22[[#This Row],[Qty arrive]]</f>
        <v>0</v>
      </c>
    </row>
    <row r="37" spans="1:10">
      <c r="A37" s="1" t="s">
        <v>77</v>
      </c>
      <c r="B37" s="21"/>
      <c r="C37" s="2">
        <v>45966</v>
      </c>
      <c r="D37" s="19" t="s">
        <v>38</v>
      </c>
      <c r="E37" s="1" t="s">
        <v>39</v>
      </c>
      <c r="F37" s="9" t="s">
        <v>79</v>
      </c>
      <c r="G37" s="1">
        <v>4</v>
      </c>
      <c r="H37" s="1">
        <v>0</v>
      </c>
      <c r="I37" s="1"/>
      <c r="J37" s="1">
        <f>Table22[[#This Row],[Qty]]-Table22[[#This Row],[Qty arrive]]</f>
        <v>4</v>
      </c>
    </row>
    <row r="38" spans="1:10">
      <c r="A38" s="1" t="s">
        <v>77</v>
      </c>
      <c r="B38" s="21"/>
      <c r="C38" s="2">
        <v>45966</v>
      </c>
      <c r="D38" s="19" t="s">
        <v>38</v>
      </c>
      <c r="E38" s="1" t="s">
        <v>39</v>
      </c>
      <c r="F38" s="9" t="s">
        <v>80</v>
      </c>
      <c r="G38" s="1">
        <v>3</v>
      </c>
      <c r="H38" s="1">
        <v>3</v>
      </c>
      <c r="I38" s="1"/>
      <c r="J38" s="1">
        <f>Table22[[#This Row],[Qty]]-Table22[[#This Row],[Qty arrive]]</f>
        <v>0</v>
      </c>
    </row>
    <row r="39" spans="1:10">
      <c r="A39" s="1" t="s">
        <v>77</v>
      </c>
      <c r="B39" s="21"/>
      <c r="C39" s="2">
        <v>45966</v>
      </c>
      <c r="D39" s="19" t="s">
        <v>38</v>
      </c>
      <c r="E39" s="1" t="s">
        <v>39</v>
      </c>
      <c r="F39" s="9" t="s">
        <v>81</v>
      </c>
      <c r="G39" s="1">
        <v>5</v>
      </c>
      <c r="H39" s="1">
        <v>5</v>
      </c>
      <c r="I39" s="1"/>
      <c r="J39" s="1">
        <f>Table22[[#This Row],[Qty]]-Table22[[#This Row],[Qty arrive]]</f>
        <v>0</v>
      </c>
    </row>
    <row r="40" spans="1:10">
      <c r="A40" s="1" t="s">
        <v>82</v>
      </c>
      <c r="B40" s="21"/>
      <c r="C40" s="2">
        <v>45966</v>
      </c>
      <c r="D40" s="19" t="s">
        <v>51</v>
      </c>
      <c r="E40" s="1" t="s">
        <v>52</v>
      </c>
      <c r="F40" s="9" t="s">
        <v>83</v>
      </c>
      <c r="G40" s="1">
        <v>1</v>
      </c>
      <c r="H40" s="1"/>
      <c r="I40" s="1"/>
      <c r="J40" s="1">
        <f>Table22[[#This Row],[Qty]]-Table22[[#This Row],[Qty arrive]]</f>
        <v>1</v>
      </c>
    </row>
    <row r="41" spans="1:10">
      <c r="A41" s="1" t="s">
        <v>84</v>
      </c>
      <c r="B41" s="21"/>
      <c r="C41" s="2">
        <v>45966</v>
      </c>
      <c r="D41" s="19" t="s">
        <v>72</v>
      </c>
      <c r="E41" s="1" t="s">
        <v>85</v>
      </c>
      <c r="F41" s="9" t="s">
        <v>86</v>
      </c>
      <c r="G41" s="1">
        <v>5</v>
      </c>
      <c r="H41" s="1"/>
      <c r="I41" s="1"/>
      <c r="J41" s="1">
        <f>Table22[[#This Row],[Qty]]-Table22[[#This Row],[Qty arrive]]</f>
        <v>5</v>
      </c>
    </row>
    <row r="42" spans="1:10">
      <c r="A42" s="1" t="s">
        <v>84</v>
      </c>
      <c r="B42" s="21"/>
      <c r="C42" s="2">
        <v>45966</v>
      </c>
      <c r="D42" s="19" t="s">
        <v>72</v>
      </c>
      <c r="E42" s="1" t="s">
        <v>85</v>
      </c>
      <c r="F42" s="9" t="s">
        <v>87</v>
      </c>
      <c r="G42" s="1">
        <v>2</v>
      </c>
      <c r="H42" s="1"/>
      <c r="I42" s="1"/>
      <c r="J42" s="1">
        <f>Table22[[#This Row],[Qty]]-Table22[[#This Row],[Qty arrive]]</f>
        <v>2</v>
      </c>
    </row>
    <row r="43" spans="1:10">
      <c r="A43" s="1" t="s">
        <v>88</v>
      </c>
      <c r="B43" s="21"/>
      <c r="C43" s="2">
        <v>45967</v>
      </c>
      <c r="D43" s="19" t="s">
        <v>62</v>
      </c>
      <c r="E43" s="1" t="s">
        <v>89</v>
      </c>
      <c r="F43" s="9" t="s">
        <v>90</v>
      </c>
      <c r="G43" s="1">
        <v>10</v>
      </c>
      <c r="H43" s="1"/>
      <c r="I43" s="1"/>
      <c r="J43" s="1">
        <f>Table22[[#This Row],[Qty]]-Table22[[#This Row],[Qty arrive]]</f>
        <v>10</v>
      </c>
    </row>
    <row r="44" spans="1:10">
      <c r="A44" s="1" t="s">
        <v>88</v>
      </c>
      <c r="B44" s="21"/>
      <c r="C44" s="2">
        <v>45967</v>
      </c>
      <c r="D44" s="19" t="s">
        <v>62</v>
      </c>
      <c r="E44" s="1" t="s">
        <v>89</v>
      </c>
      <c r="F44" s="9" t="s">
        <v>91</v>
      </c>
      <c r="G44" s="1">
        <v>10</v>
      </c>
      <c r="H44" s="1"/>
      <c r="I44" s="1"/>
      <c r="J44" s="1">
        <f>Table22[[#This Row],[Qty]]-Table22[[#This Row],[Qty arrive]]</f>
        <v>10</v>
      </c>
    </row>
    <row r="45" spans="1:10">
      <c r="A45" s="1" t="s">
        <v>92</v>
      </c>
      <c r="B45" s="21"/>
      <c r="C45" s="2">
        <v>45967</v>
      </c>
      <c r="D45" s="19" t="s">
        <v>51</v>
      </c>
      <c r="E45" s="1" t="s">
        <v>52</v>
      </c>
      <c r="F45" s="9" t="s">
        <v>93</v>
      </c>
      <c r="G45" s="1">
        <v>30</v>
      </c>
      <c r="H45" s="1"/>
      <c r="I45" s="1"/>
      <c r="J45" s="1">
        <f>Table22[[#This Row],[Qty]]-Table22[[#This Row],[Qty arrive]]</f>
        <v>30</v>
      </c>
    </row>
    <row r="46" spans="1:10">
      <c r="A46" s="1" t="s">
        <v>92</v>
      </c>
      <c r="B46" s="21"/>
      <c r="C46" s="2">
        <v>45967</v>
      </c>
      <c r="D46" s="19" t="s">
        <v>51</v>
      </c>
      <c r="E46" s="1" t="s">
        <v>52</v>
      </c>
      <c r="F46" s="9" t="s">
        <v>94</v>
      </c>
      <c r="G46" s="1">
        <v>2</v>
      </c>
      <c r="H46" s="1">
        <v>2</v>
      </c>
      <c r="I46" s="7">
        <v>45986</v>
      </c>
      <c r="J46" s="1">
        <f>Table22[[#This Row],[Qty]]-Table22[[#This Row],[Qty arrive]]</f>
        <v>0</v>
      </c>
    </row>
    <row r="47" spans="1:10">
      <c r="A47" s="1" t="s">
        <v>92</v>
      </c>
      <c r="B47" s="21"/>
      <c r="C47" s="2">
        <v>45967</v>
      </c>
      <c r="D47" s="19" t="s">
        <v>51</v>
      </c>
      <c r="E47" s="1" t="s">
        <v>52</v>
      </c>
      <c r="F47" s="9" t="s">
        <v>95</v>
      </c>
      <c r="G47" s="1">
        <v>10</v>
      </c>
      <c r="H47" s="1">
        <v>10</v>
      </c>
      <c r="I47" s="7">
        <v>45986</v>
      </c>
      <c r="J47" s="1">
        <f>Table22[[#This Row],[Qty]]-Table22[[#This Row],[Qty arrive]]</f>
        <v>0</v>
      </c>
    </row>
    <row r="48" spans="1:10">
      <c r="A48" s="1" t="s">
        <v>96</v>
      </c>
      <c r="B48" s="21"/>
      <c r="C48" s="2">
        <v>45968</v>
      </c>
      <c r="D48" s="19" t="s">
        <v>38</v>
      </c>
      <c r="E48" s="1" t="s">
        <v>39</v>
      </c>
      <c r="F48" s="9" t="s">
        <v>97</v>
      </c>
      <c r="G48" s="1">
        <v>10</v>
      </c>
      <c r="H48" s="1"/>
      <c r="I48" s="1"/>
      <c r="J48" s="1">
        <f>Table22[[#This Row],[Qty]]-Table22[[#This Row],[Qty arrive]]</f>
        <v>10</v>
      </c>
    </row>
    <row r="49" spans="1:10">
      <c r="A49" s="1" t="s">
        <v>98</v>
      </c>
      <c r="B49" s="21"/>
      <c r="C49" s="2">
        <v>45972</v>
      </c>
      <c r="D49" s="9" t="s">
        <v>62</v>
      </c>
      <c r="E49" s="1" t="s">
        <v>63</v>
      </c>
      <c r="F49" s="9" t="s">
        <v>64</v>
      </c>
      <c r="G49" s="1">
        <v>15</v>
      </c>
      <c r="H49" s="1"/>
      <c r="I49" s="1"/>
      <c r="J49" s="1">
        <f>Table22[[#This Row],[Qty]]-Table22[[#This Row],[Qty arrive]]</f>
        <v>15</v>
      </c>
    </row>
    <row r="50" spans="1:10">
      <c r="A50" s="1" t="s">
        <v>98</v>
      </c>
      <c r="B50" s="21"/>
      <c r="C50" s="2">
        <v>45972</v>
      </c>
      <c r="D50" s="9" t="s">
        <v>62</v>
      </c>
      <c r="E50" s="1" t="s">
        <v>63</v>
      </c>
      <c r="F50" s="9" t="s">
        <v>99</v>
      </c>
      <c r="G50" s="1">
        <v>3</v>
      </c>
      <c r="H50" s="1"/>
      <c r="I50" s="1"/>
      <c r="J50" s="1">
        <f>Table22[[#This Row],[Qty]]-Table22[[#This Row],[Qty arrive]]</f>
        <v>3</v>
      </c>
    </row>
    <row r="51" spans="1:10">
      <c r="A51" s="1" t="s">
        <v>98</v>
      </c>
      <c r="B51" s="21"/>
      <c r="C51" s="2">
        <v>45972</v>
      </c>
      <c r="D51" s="9" t="s">
        <v>62</v>
      </c>
      <c r="E51" s="1" t="s">
        <v>63</v>
      </c>
      <c r="F51" s="9" t="s">
        <v>100</v>
      </c>
      <c r="G51" s="1">
        <v>8</v>
      </c>
      <c r="H51" s="1"/>
      <c r="I51" s="1"/>
      <c r="J51" s="1">
        <f>Table22[[#This Row],[Qty]]-Table22[[#This Row],[Qty arrive]]</f>
        <v>8</v>
      </c>
    </row>
    <row r="52" spans="1:10">
      <c r="A52" s="1" t="s">
        <v>101</v>
      </c>
      <c r="B52" s="21"/>
      <c r="C52" s="2">
        <v>45972</v>
      </c>
      <c r="D52" s="9" t="s">
        <v>42</v>
      </c>
      <c r="E52" s="1" t="s">
        <v>43</v>
      </c>
      <c r="F52" s="9" t="s">
        <v>102</v>
      </c>
      <c r="G52" s="1">
        <v>18</v>
      </c>
      <c r="H52" s="1">
        <v>10</v>
      </c>
      <c r="I52" s="1"/>
      <c r="J52" s="1">
        <f>Table22[[#This Row],[Qty]]-Table22[[#This Row],[Qty arrive]]</f>
        <v>8</v>
      </c>
    </row>
    <row r="53" spans="1:10">
      <c r="A53" s="1" t="s">
        <v>101</v>
      </c>
      <c r="B53" s="21"/>
      <c r="C53" s="2">
        <v>45972</v>
      </c>
      <c r="D53" s="9" t="s">
        <v>42</v>
      </c>
      <c r="E53" s="1" t="s">
        <v>43</v>
      </c>
      <c r="F53" s="9" t="s">
        <v>103</v>
      </c>
      <c r="G53" s="1">
        <v>2</v>
      </c>
      <c r="H53" s="1"/>
      <c r="I53" s="1"/>
      <c r="J53" s="1">
        <f>Table22[[#This Row],[Qty]]-Table22[[#This Row],[Qty arrive]]</f>
        <v>2</v>
      </c>
    </row>
    <row r="54" spans="1:10">
      <c r="A54" s="1" t="s">
        <v>101</v>
      </c>
      <c r="B54" s="21"/>
      <c r="C54" s="2">
        <v>45972</v>
      </c>
      <c r="D54" s="9" t="s">
        <v>42</v>
      </c>
      <c r="E54" s="1" t="s">
        <v>43</v>
      </c>
      <c r="F54" s="9" t="s">
        <v>104</v>
      </c>
      <c r="G54" s="1">
        <v>12</v>
      </c>
      <c r="H54" s="1"/>
      <c r="I54" s="1"/>
      <c r="J54" s="1">
        <f>Table22[[#This Row],[Qty]]-Table22[[#This Row],[Qty arrive]]</f>
        <v>12</v>
      </c>
    </row>
    <row r="55" spans="1:10">
      <c r="A55" s="1" t="s">
        <v>101</v>
      </c>
      <c r="B55" s="21"/>
      <c r="C55" s="2">
        <v>45972</v>
      </c>
      <c r="D55" s="9" t="s">
        <v>42</v>
      </c>
      <c r="E55" s="1" t="s">
        <v>43</v>
      </c>
      <c r="F55" s="9" t="s">
        <v>105</v>
      </c>
      <c r="G55" s="1">
        <v>3</v>
      </c>
      <c r="H55" s="1"/>
      <c r="I55" s="1"/>
      <c r="J55" s="1">
        <f>Table22[[#This Row],[Qty]]-Table22[[#This Row],[Qty arrive]]</f>
        <v>3</v>
      </c>
    </row>
    <row r="56" spans="1:10">
      <c r="A56" s="1" t="s">
        <v>101</v>
      </c>
      <c r="B56" s="21"/>
      <c r="C56" s="2">
        <v>45972</v>
      </c>
      <c r="D56" s="9" t="s">
        <v>42</v>
      </c>
      <c r="E56" s="1" t="s">
        <v>43</v>
      </c>
      <c r="F56" s="9" t="s">
        <v>106</v>
      </c>
      <c r="G56" s="1">
        <v>2</v>
      </c>
      <c r="H56" s="1"/>
      <c r="I56" s="1"/>
      <c r="J56" s="1">
        <f>Table22[[#This Row],[Qty]]-Table22[[#This Row],[Qty arrive]]</f>
        <v>2</v>
      </c>
    </row>
    <row r="57" spans="1:10">
      <c r="A57" s="1" t="s">
        <v>101</v>
      </c>
      <c r="B57" s="21"/>
      <c r="C57" s="2">
        <v>45972</v>
      </c>
      <c r="D57" s="9" t="s">
        <v>42</v>
      </c>
      <c r="E57" s="1" t="s">
        <v>43</v>
      </c>
      <c r="F57" s="9" t="s">
        <v>107</v>
      </c>
      <c r="G57" s="1">
        <v>1</v>
      </c>
      <c r="H57" s="1"/>
      <c r="I57" s="1"/>
      <c r="J57" s="1">
        <f>Table22[[#This Row],[Qty]]-Table22[[#This Row],[Qty arrive]]</f>
        <v>1</v>
      </c>
    </row>
    <row r="58" spans="1:10">
      <c r="A58" s="1" t="s">
        <v>101</v>
      </c>
      <c r="B58" s="21"/>
      <c r="C58" s="2">
        <v>45972</v>
      </c>
      <c r="D58" s="9" t="s">
        <v>42</v>
      </c>
      <c r="E58" s="1" t="s">
        <v>43</v>
      </c>
      <c r="F58" s="9" t="s">
        <v>108</v>
      </c>
      <c r="G58" s="1">
        <v>1</v>
      </c>
      <c r="H58" s="1"/>
      <c r="I58" s="1"/>
      <c r="J58" s="1">
        <f>Table22[[#This Row],[Qty]]-Table22[[#This Row],[Qty arrive]]</f>
        <v>1</v>
      </c>
    </row>
    <row r="59" spans="1:10">
      <c r="A59" s="1" t="s">
        <v>109</v>
      </c>
      <c r="B59" s="21"/>
      <c r="C59" s="2">
        <v>45972</v>
      </c>
      <c r="D59" s="9" t="s">
        <v>62</v>
      </c>
      <c r="E59" s="1" t="s">
        <v>63</v>
      </c>
      <c r="F59" s="9" t="s">
        <v>110</v>
      </c>
      <c r="G59" s="1">
        <v>2</v>
      </c>
      <c r="H59" s="1"/>
      <c r="I59" s="1"/>
      <c r="J59" s="1">
        <f>Table22[[#This Row],[Qty]]-Table22[[#This Row],[Qty arrive]]</f>
        <v>2</v>
      </c>
    </row>
    <row r="60" spans="1:10">
      <c r="A60" s="1" t="s">
        <v>111</v>
      </c>
      <c r="B60" s="21"/>
      <c r="C60" s="2">
        <v>45972</v>
      </c>
      <c r="D60" s="9" t="s">
        <v>42</v>
      </c>
      <c r="E60" s="1" t="s">
        <v>43</v>
      </c>
      <c r="F60" s="9" t="s">
        <v>112</v>
      </c>
      <c r="G60" s="1">
        <v>20</v>
      </c>
      <c r="H60" s="1"/>
      <c r="I60" s="1"/>
      <c r="J60" s="1">
        <f>Table22[[#This Row],[Qty]]-Table22[[#This Row],[Qty arrive]]</f>
        <v>20</v>
      </c>
    </row>
    <row r="61" spans="1:10">
      <c r="A61" s="1" t="s">
        <v>113</v>
      </c>
      <c r="B61" s="21"/>
      <c r="C61" s="2">
        <v>45973</v>
      </c>
      <c r="D61" s="9" t="s">
        <v>42</v>
      </c>
      <c r="E61" s="1" t="s">
        <v>43</v>
      </c>
      <c r="F61" s="9" t="s">
        <v>114</v>
      </c>
      <c r="G61" s="1">
        <v>1</v>
      </c>
      <c r="H61" s="1"/>
      <c r="I61" s="1"/>
      <c r="J61" s="1">
        <f>Table22[[#This Row],[Qty]]-Table22[[#This Row],[Qty arrive]]</f>
        <v>1</v>
      </c>
    </row>
    <row r="62" spans="1:10">
      <c r="A62" s="1" t="s">
        <v>115</v>
      </c>
      <c r="B62" s="21"/>
      <c r="C62" s="2">
        <v>45973</v>
      </c>
      <c r="D62" s="9" t="s">
        <v>27</v>
      </c>
      <c r="E62" s="1" t="s">
        <v>28</v>
      </c>
      <c r="F62" s="9" t="s">
        <v>116</v>
      </c>
      <c r="G62" s="1">
        <v>16</v>
      </c>
      <c r="H62" s="1"/>
      <c r="I62" s="1"/>
      <c r="J62" s="1">
        <f>Table22[[#This Row],[Qty]]-Table22[[#This Row],[Qty arrive]]</f>
        <v>16</v>
      </c>
    </row>
    <row r="63" spans="1:10">
      <c r="A63" s="1" t="s">
        <v>115</v>
      </c>
      <c r="B63" s="21"/>
      <c r="C63" s="2">
        <v>45973</v>
      </c>
      <c r="D63" s="9" t="s">
        <v>27</v>
      </c>
      <c r="E63" s="1" t="s">
        <v>28</v>
      </c>
      <c r="F63" s="9" t="s">
        <v>117</v>
      </c>
      <c r="G63" s="1">
        <v>25</v>
      </c>
      <c r="H63" s="1"/>
      <c r="I63" s="1"/>
      <c r="J63" s="1">
        <f>Table22[[#This Row],[Qty]]-Table22[[#This Row],[Qty arrive]]</f>
        <v>25</v>
      </c>
    </row>
    <row r="64" spans="1:10">
      <c r="A64" s="1" t="s">
        <v>115</v>
      </c>
      <c r="B64" s="21"/>
      <c r="C64" s="2">
        <v>45973</v>
      </c>
      <c r="D64" s="9" t="s">
        <v>27</v>
      </c>
      <c r="E64" s="1" t="s">
        <v>28</v>
      </c>
      <c r="F64" s="9" t="s">
        <v>118</v>
      </c>
      <c r="G64" s="1">
        <v>12</v>
      </c>
      <c r="H64" s="1"/>
      <c r="I64" s="1"/>
      <c r="J64" s="1">
        <f>Table22[[#This Row],[Qty]]-Table22[[#This Row],[Qty arrive]]</f>
        <v>12</v>
      </c>
    </row>
    <row r="65" spans="1:10">
      <c r="A65" s="1" t="s">
        <v>119</v>
      </c>
      <c r="B65" s="21"/>
      <c r="C65" s="2">
        <v>45975</v>
      </c>
      <c r="D65" s="9" t="s">
        <v>51</v>
      </c>
      <c r="E65" s="1" t="s">
        <v>52</v>
      </c>
      <c r="F65" s="9" t="s">
        <v>120</v>
      </c>
      <c r="G65" s="1">
        <v>1</v>
      </c>
      <c r="H65" s="1"/>
      <c r="I65" s="1"/>
      <c r="J65" s="1">
        <f>Table22[[#This Row],[Qty]]-Table22[[#This Row],[Qty arrive]]</f>
        <v>1</v>
      </c>
    </row>
    <row r="66" spans="1:10">
      <c r="A66" s="1" t="s">
        <v>121</v>
      </c>
      <c r="B66" s="21"/>
      <c r="C66" s="2">
        <v>45978</v>
      </c>
      <c r="D66" s="9" t="s">
        <v>62</v>
      </c>
      <c r="E66" s="1" t="s">
        <v>122</v>
      </c>
      <c r="F66" s="9" t="s">
        <v>123</v>
      </c>
      <c r="G66" s="1">
        <v>1</v>
      </c>
      <c r="H66" s="1">
        <v>1</v>
      </c>
      <c r="I66" s="7">
        <v>45982</v>
      </c>
      <c r="J66" s="1">
        <f>Table22[[#This Row],[Qty]]-Table22[[#This Row],[Qty arrive]]</f>
        <v>0</v>
      </c>
    </row>
    <row r="67" spans="1:10">
      <c r="A67" s="1" t="s">
        <v>124</v>
      </c>
      <c r="B67" s="21"/>
      <c r="C67" s="2">
        <v>45979</v>
      </c>
      <c r="D67" s="9" t="s">
        <v>51</v>
      </c>
      <c r="E67" s="1" t="s">
        <v>52</v>
      </c>
      <c r="F67" s="9" t="s">
        <v>125</v>
      </c>
      <c r="G67" s="1">
        <v>1</v>
      </c>
      <c r="H67" s="1"/>
      <c r="I67" s="1"/>
      <c r="J67" s="1">
        <f>Table22[[#This Row],[Qty]]-Table22[[#This Row],[Qty arrive]]</f>
        <v>1</v>
      </c>
    </row>
    <row r="68" spans="1:10">
      <c r="A68" s="1" t="s">
        <v>126</v>
      </c>
      <c r="B68" s="21"/>
      <c r="C68" s="2">
        <v>45981</v>
      </c>
      <c r="D68" s="9" t="s">
        <v>51</v>
      </c>
      <c r="E68" s="1" t="s">
        <v>52</v>
      </c>
      <c r="F68" s="4" t="s">
        <v>127</v>
      </c>
      <c r="G68" s="1">
        <v>7</v>
      </c>
      <c r="H68" s="1"/>
      <c r="I68" s="1"/>
      <c r="J68" s="1">
        <f>Table22[[#This Row],[Qty]]-Table22[[#This Row],[Qty arrive]]</f>
        <v>7</v>
      </c>
    </row>
    <row r="69" spans="1:10">
      <c r="A69" s="1" t="s">
        <v>126</v>
      </c>
      <c r="B69" s="21"/>
      <c r="C69" s="2">
        <v>45981</v>
      </c>
      <c r="D69" s="9" t="s">
        <v>51</v>
      </c>
      <c r="E69" s="1" t="s">
        <v>52</v>
      </c>
      <c r="F69" s="4" t="s">
        <v>104</v>
      </c>
      <c r="G69" s="1">
        <v>7</v>
      </c>
      <c r="H69" s="1"/>
      <c r="I69" s="1"/>
      <c r="J69" s="1">
        <f>Table22[[#This Row],[Qty]]-Table22[[#This Row],[Qty arrive]]</f>
        <v>7</v>
      </c>
    </row>
    <row r="70" spans="1:10">
      <c r="A70" s="1" t="s">
        <v>128</v>
      </c>
      <c r="B70" s="21"/>
      <c r="C70" s="2">
        <v>45981</v>
      </c>
      <c r="D70" s="9" t="s">
        <v>72</v>
      </c>
      <c r="E70" s="1" t="s">
        <v>85</v>
      </c>
      <c r="F70" s="4" t="s">
        <v>129</v>
      </c>
      <c r="G70" s="1">
        <v>20</v>
      </c>
      <c r="H70" s="1"/>
      <c r="I70" s="1"/>
      <c r="J70" s="1">
        <f>Table22[[#This Row],[Qty]]-Table22[[#This Row],[Qty arrive]]</f>
        <v>20</v>
      </c>
    </row>
    <row r="71" spans="1:10">
      <c r="A71" s="1" t="s">
        <v>128</v>
      </c>
      <c r="B71" s="21"/>
      <c r="C71" s="2">
        <v>45981</v>
      </c>
      <c r="D71" s="9" t="s">
        <v>72</v>
      </c>
      <c r="E71" s="1" t="s">
        <v>85</v>
      </c>
      <c r="F71" s="4" t="s">
        <v>130</v>
      </c>
      <c r="G71" s="1">
        <v>1</v>
      </c>
      <c r="H71" s="1"/>
      <c r="I71" s="1"/>
      <c r="J71" s="1">
        <f>Table22[[#This Row],[Qty]]-Table22[[#This Row],[Qty arrive]]</f>
        <v>1</v>
      </c>
    </row>
    <row r="72" spans="1:10">
      <c r="A72" s="1" t="s">
        <v>131</v>
      </c>
      <c r="B72" s="21"/>
      <c r="C72" s="2">
        <v>45982</v>
      </c>
      <c r="D72" s="9" t="s">
        <v>62</v>
      </c>
      <c r="E72" s="1" t="s">
        <v>122</v>
      </c>
      <c r="F72" s="4" t="s">
        <v>64</v>
      </c>
      <c r="G72" s="1">
        <v>20</v>
      </c>
      <c r="H72" s="1"/>
      <c r="I72" s="1"/>
      <c r="J72" s="1">
        <f>Table22[[#This Row],[Qty]]-Table22[[#This Row],[Qty arrive]]</f>
        <v>20</v>
      </c>
    </row>
    <row r="73" spans="1:10">
      <c r="A73" s="1" t="s">
        <v>132</v>
      </c>
      <c r="B73" s="21"/>
      <c r="C73" s="2">
        <v>45985</v>
      </c>
      <c r="D73" s="9" t="s">
        <v>42</v>
      </c>
      <c r="E73" s="1" t="s">
        <v>43</v>
      </c>
      <c r="F73" s="4" t="s">
        <v>104</v>
      </c>
      <c r="G73" s="1">
        <v>14</v>
      </c>
      <c r="H73" s="1"/>
      <c r="I73" s="1"/>
      <c r="J73" s="1">
        <f>Table22[[#This Row],[Qty]]-Table22[[#This Row],[Qty arrive]]</f>
        <v>14</v>
      </c>
    </row>
    <row r="74" spans="1:10">
      <c r="A74" s="1" t="s">
        <v>133</v>
      </c>
      <c r="B74" s="21"/>
      <c r="C74" s="2">
        <v>45986</v>
      </c>
      <c r="D74" s="9" t="s">
        <v>51</v>
      </c>
      <c r="E74" s="1" t="s">
        <v>52</v>
      </c>
      <c r="F74" s="4" t="s">
        <v>134</v>
      </c>
      <c r="G74" s="1">
        <v>3</v>
      </c>
      <c r="H74" s="1"/>
      <c r="I74" s="1"/>
      <c r="J74" s="1">
        <f>Table22[[#This Row],[Qty]]-Table22[[#This Row],[Qty arrive]]</f>
        <v>3</v>
      </c>
    </row>
    <row r="75" spans="1:10">
      <c r="A75" s="1" t="s">
        <v>133</v>
      </c>
      <c r="B75" s="21"/>
      <c r="C75" s="2">
        <v>45986</v>
      </c>
      <c r="D75" s="9" t="s">
        <v>51</v>
      </c>
      <c r="E75" s="1" t="s">
        <v>52</v>
      </c>
      <c r="F75" s="4" t="s">
        <v>135</v>
      </c>
      <c r="G75" s="1">
        <v>5</v>
      </c>
      <c r="H75" s="1"/>
      <c r="I75" s="1"/>
      <c r="J75" s="1">
        <f>Table22[[#This Row],[Qty]]-Table22[[#This Row],[Qty arrive]]</f>
        <v>5</v>
      </c>
    </row>
    <row r="76" spans="1:10">
      <c r="A76" s="1" t="s">
        <v>133</v>
      </c>
      <c r="B76" s="21"/>
      <c r="C76" s="2">
        <v>45986</v>
      </c>
      <c r="D76" s="9" t="s">
        <v>51</v>
      </c>
      <c r="E76" s="1" t="s">
        <v>52</v>
      </c>
      <c r="F76" s="4" t="s">
        <v>136</v>
      </c>
      <c r="G76" s="1">
        <v>5</v>
      </c>
      <c r="H76" s="1"/>
      <c r="I76" s="1"/>
      <c r="J76" s="1">
        <f>Table22[[#This Row],[Qty]]-Table22[[#This Row],[Qty arrive]]</f>
        <v>5</v>
      </c>
    </row>
    <row r="77" spans="1:10">
      <c r="A77" s="1" t="s">
        <v>133</v>
      </c>
      <c r="B77" s="21"/>
      <c r="C77" s="2">
        <v>45986</v>
      </c>
      <c r="D77" s="9" t="s">
        <v>51</v>
      </c>
      <c r="E77" s="1" t="s">
        <v>52</v>
      </c>
      <c r="F77" s="4" t="s">
        <v>137</v>
      </c>
      <c r="G77" s="1">
        <v>2</v>
      </c>
      <c r="H77" s="1"/>
      <c r="I77" s="1"/>
      <c r="J77" s="1">
        <f>Table22[[#This Row],[Qty]]-Table22[[#This Row],[Qty arrive]]</f>
        <v>2</v>
      </c>
    </row>
    <row r="78" spans="1:10">
      <c r="A78" s="1" t="s">
        <v>138</v>
      </c>
      <c r="B78" s="21"/>
      <c r="C78" s="2">
        <v>45987</v>
      </c>
      <c r="D78" s="9" t="s">
        <v>62</v>
      </c>
      <c r="E78" s="1" t="s">
        <v>122</v>
      </c>
      <c r="F78" s="4" t="s">
        <v>139</v>
      </c>
      <c r="G78" s="1">
        <v>2</v>
      </c>
      <c r="H78" s="1"/>
      <c r="I78" s="1"/>
      <c r="J78" s="1">
        <f>Table22[[#This Row],[Qty]]-Table22[[#This Row],[Qty arrive]]</f>
        <v>2</v>
      </c>
    </row>
    <row r="79" spans="1:10">
      <c r="A79" s="1" t="s">
        <v>140</v>
      </c>
      <c r="B79" s="21"/>
      <c r="C79" s="2">
        <v>45987</v>
      </c>
      <c r="D79" s="9" t="s">
        <v>27</v>
      </c>
      <c r="E79" s="1" t="s">
        <v>46</v>
      </c>
      <c r="F79" s="4" t="s">
        <v>141</v>
      </c>
      <c r="G79" s="1">
        <v>8</v>
      </c>
      <c r="H79" s="1"/>
      <c r="I79" s="1"/>
      <c r="J79" s="1">
        <f>Table22[[#This Row],[Qty]]-Table22[[#This Row],[Qty arrive]]</f>
        <v>8</v>
      </c>
    </row>
    <row r="80" spans="1:10">
      <c r="A80" s="1" t="s">
        <v>140</v>
      </c>
      <c r="B80" s="21"/>
      <c r="C80" s="2">
        <v>45987</v>
      </c>
      <c r="D80" s="9" t="s">
        <v>27</v>
      </c>
      <c r="E80" s="1" t="s">
        <v>46</v>
      </c>
      <c r="F80" s="4" t="s">
        <v>142</v>
      </c>
      <c r="G80" s="1">
        <v>1</v>
      </c>
      <c r="H80" s="1"/>
      <c r="I80" s="1"/>
      <c r="J80" s="1">
        <f>Table22[[#This Row],[Qty]]-Table22[[#This Row],[Qty arrive]]</f>
        <v>1</v>
      </c>
    </row>
    <row r="81" spans="1:10">
      <c r="A81" s="1" t="s">
        <v>143</v>
      </c>
      <c r="B81" s="21"/>
      <c r="C81" s="2">
        <v>45993</v>
      </c>
      <c r="D81" s="9" t="s">
        <v>72</v>
      </c>
      <c r="E81" s="1" t="s">
        <v>85</v>
      </c>
      <c r="F81" s="4" t="s">
        <v>86</v>
      </c>
      <c r="G81" s="1">
        <v>2</v>
      </c>
      <c r="H81" s="1"/>
      <c r="I81" s="1"/>
      <c r="J81" s="1">
        <f>Table22[[#This Row],[Qty]]-Table22[[#This Row],[Qty arrive]]</f>
        <v>2</v>
      </c>
    </row>
    <row r="82" spans="1:10">
      <c r="A82" s="1" t="s">
        <v>144</v>
      </c>
      <c r="B82" s="21"/>
      <c r="C82" s="2">
        <v>45993</v>
      </c>
      <c r="D82" s="9" t="s">
        <v>72</v>
      </c>
      <c r="E82" s="1" t="s">
        <v>145</v>
      </c>
      <c r="F82" s="4" t="s">
        <v>146</v>
      </c>
      <c r="G82" s="1">
        <v>2</v>
      </c>
      <c r="H82" s="1"/>
      <c r="I82" s="1"/>
      <c r="J82" s="1">
        <f>Table22[[#This Row],[Qty]]-Table22[[#This Row],[Qty arrive]]</f>
        <v>2</v>
      </c>
    </row>
    <row r="83" spans="1:10">
      <c r="A83" s="1" t="s">
        <v>144</v>
      </c>
      <c r="B83" s="21"/>
      <c r="C83" s="2">
        <v>45993</v>
      </c>
      <c r="D83" s="9" t="s">
        <v>72</v>
      </c>
      <c r="E83" s="1" t="s">
        <v>145</v>
      </c>
      <c r="F83" s="4" t="s">
        <v>87</v>
      </c>
      <c r="G83" s="1">
        <v>2</v>
      </c>
      <c r="H83" s="1">
        <v>2</v>
      </c>
      <c r="I83" s="1"/>
      <c r="J83" s="1">
        <f>Table22[[#This Row],[Qty]]-Table22[[#This Row],[Qty arrive]]</f>
        <v>0</v>
      </c>
    </row>
    <row r="84" spans="1:10">
      <c r="A84" s="1" t="s">
        <v>147</v>
      </c>
      <c r="B84" s="21"/>
      <c r="C84" s="2">
        <v>45993</v>
      </c>
      <c r="D84" s="19" t="s">
        <v>38</v>
      </c>
      <c r="E84" s="1" t="s">
        <v>39</v>
      </c>
      <c r="F84" s="4" t="s">
        <v>148</v>
      </c>
      <c r="G84" s="1">
        <v>43</v>
      </c>
      <c r="H84" s="1"/>
      <c r="I84" s="1"/>
      <c r="J84" s="1">
        <f>Table22[[#This Row],[Qty]]-Table22[[#This Row],[Qty arrive]]</f>
        <v>43</v>
      </c>
    </row>
    <row r="85" spans="1:10">
      <c r="A85" s="1" t="s">
        <v>147</v>
      </c>
      <c r="B85" s="21"/>
      <c r="C85" s="2">
        <v>45993</v>
      </c>
      <c r="D85" s="19" t="s">
        <v>38</v>
      </c>
      <c r="E85" s="1" t="s">
        <v>39</v>
      </c>
      <c r="F85" s="4" t="s">
        <v>149</v>
      </c>
      <c r="G85" s="1">
        <v>34</v>
      </c>
      <c r="H85" s="1"/>
      <c r="I85" s="1"/>
      <c r="J85" s="1">
        <f>Table22[[#This Row],[Qty]]-Table22[[#This Row],[Qty arrive]]</f>
        <v>34</v>
      </c>
    </row>
    <row r="86" spans="1:10">
      <c r="A86" s="1" t="s">
        <v>150</v>
      </c>
      <c r="B86" s="21"/>
      <c r="C86" s="2">
        <v>45994</v>
      </c>
      <c r="D86" s="9" t="s">
        <v>62</v>
      </c>
      <c r="E86" s="1" t="s">
        <v>122</v>
      </c>
      <c r="F86" s="4" t="s">
        <v>100</v>
      </c>
      <c r="G86" s="1">
        <v>5</v>
      </c>
      <c r="H86" s="1">
        <v>5</v>
      </c>
      <c r="I86" s="1"/>
      <c r="J86" s="1">
        <f>Table22[[#This Row],[Qty]]-Table22[[#This Row],[Qty arrive]]</f>
        <v>0</v>
      </c>
    </row>
    <row r="87" spans="1:10">
      <c r="A87" s="1" t="s">
        <v>150</v>
      </c>
      <c r="B87" s="21"/>
      <c r="C87" s="2">
        <v>45994</v>
      </c>
      <c r="D87" s="9" t="s">
        <v>62</v>
      </c>
      <c r="E87" s="1" t="s">
        <v>122</v>
      </c>
      <c r="F87" s="4" t="s">
        <v>99</v>
      </c>
      <c r="G87" s="1">
        <v>3</v>
      </c>
      <c r="H87" s="1">
        <v>3</v>
      </c>
      <c r="I87" s="1"/>
      <c r="J87" s="1">
        <f>Table22[[#This Row],[Qty]]-Table22[[#This Row],[Qty arrive]]</f>
        <v>0</v>
      </c>
    </row>
    <row r="88" spans="1:10">
      <c r="A88" s="1" t="s">
        <v>150</v>
      </c>
      <c r="B88" s="21"/>
      <c r="C88" s="2">
        <v>45994</v>
      </c>
      <c r="D88" s="9" t="s">
        <v>62</v>
      </c>
      <c r="E88" s="1" t="s">
        <v>122</v>
      </c>
      <c r="F88" s="4" t="s">
        <v>64</v>
      </c>
      <c r="G88" s="1">
        <v>10</v>
      </c>
      <c r="H88" s="1">
        <v>10</v>
      </c>
      <c r="I88" s="1"/>
      <c r="J88" s="1">
        <f>Table22[[#This Row],[Qty]]-Table22[[#This Row],[Qty arrive]]</f>
        <v>0</v>
      </c>
    </row>
    <row r="89" spans="1:10">
      <c r="A89" s="1" t="s">
        <v>151</v>
      </c>
      <c r="B89" s="21"/>
      <c r="C89" s="2">
        <v>45994</v>
      </c>
      <c r="D89" s="9" t="s">
        <v>51</v>
      </c>
      <c r="E89" s="1" t="s">
        <v>52</v>
      </c>
      <c r="F89" s="4" t="s">
        <v>152</v>
      </c>
      <c r="G89" s="1">
        <v>1</v>
      </c>
      <c r="H89" s="1"/>
      <c r="I89" s="1"/>
      <c r="J89" s="1">
        <f>Table22[[#This Row],[Qty]]-Table22[[#This Row],[Qty arrive]]</f>
        <v>1</v>
      </c>
    </row>
    <row r="90" spans="1:10">
      <c r="A90" s="1" t="s">
        <v>151</v>
      </c>
      <c r="B90" s="21"/>
      <c r="C90" s="2">
        <v>45994</v>
      </c>
      <c r="D90" s="9" t="s">
        <v>51</v>
      </c>
      <c r="E90" s="1" t="s">
        <v>52</v>
      </c>
      <c r="F90" s="4" t="s">
        <v>153</v>
      </c>
      <c r="G90" s="1">
        <v>2</v>
      </c>
      <c r="H90" s="1"/>
      <c r="I90" s="1"/>
      <c r="J90" s="1">
        <f>Table22[[#This Row],[Qty]]-Table22[[#This Row],[Qty arrive]]</f>
        <v>2</v>
      </c>
    </row>
    <row r="91" spans="1:10">
      <c r="A91" s="1" t="s">
        <v>151</v>
      </c>
      <c r="B91" s="21"/>
      <c r="C91" s="2">
        <v>45994</v>
      </c>
      <c r="D91" s="9" t="s">
        <v>51</v>
      </c>
      <c r="E91" s="1" t="s">
        <v>52</v>
      </c>
      <c r="F91" s="4" t="s">
        <v>154</v>
      </c>
      <c r="G91" s="1">
        <v>1</v>
      </c>
      <c r="H91" s="1"/>
      <c r="I91" s="1"/>
      <c r="J91" s="1">
        <f>Table22[[#This Row],[Qty]]-Table22[[#This Row],[Qty arrive]]</f>
        <v>1</v>
      </c>
    </row>
    <row r="92" spans="1:10">
      <c r="A92" s="1" t="s">
        <v>151</v>
      </c>
      <c r="B92" s="21"/>
      <c r="C92" s="2">
        <v>45994</v>
      </c>
      <c r="D92" s="9" t="s">
        <v>51</v>
      </c>
      <c r="E92" s="1" t="s">
        <v>52</v>
      </c>
      <c r="F92" s="4" t="s">
        <v>155</v>
      </c>
      <c r="G92" s="1">
        <v>1</v>
      </c>
      <c r="H92" s="1"/>
      <c r="I92" s="1"/>
      <c r="J92" s="1">
        <f>Table22[[#This Row],[Qty]]-Table22[[#This Row],[Qty arrive]]</f>
        <v>1</v>
      </c>
    </row>
    <row r="93" spans="1:10">
      <c r="A93" s="1" t="s">
        <v>156</v>
      </c>
      <c r="B93" s="21"/>
      <c r="C93" s="2">
        <v>45995</v>
      </c>
      <c r="D93" s="9" t="s">
        <v>51</v>
      </c>
      <c r="E93" s="1" t="s">
        <v>52</v>
      </c>
      <c r="F93" s="4" t="s">
        <v>157</v>
      </c>
      <c r="G93" s="1">
        <v>1</v>
      </c>
      <c r="H93" s="1"/>
      <c r="I93" s="1"/>
      <c r="J93" s="1">
        <f>Table22[[#This Row],[Qty]]-Table22[[#This Row],[Qty arrive]]</f>
        <v>1</v>
      </c>
    </row>
    <row r="94" spans="1:10">
      <c r="A94" s="1" t="s">
        <v>156</v>
      </c>
      <c r="B94" s="21"/>
      <c r="C94" s="2">
        <v>45995</v>
      </c>
      <c r="D94" s="9" t="s">
        <v>51</v>
      </c>
      <c r="E94" s="1" t="s">
        <v>52</v>
      </c>
      <c r="F94" s="4" t="s">
        <v>158</v>
      </c>
      <c r="G94" s="1">
        <v>1</v>
      </c>
      <c r="H94" s="1"/>
      <c r="I94" s="1"/>
      <c r="J94" s="1">
        <f>Table22[[#This Row],[Qty]]-Table22[[#This Row],[Qty arrive]]</f>
        <v>1</v>
      </c>
    </row>
    <row r="95" spans="1:10">
      <c r="A95" s="1" t="s">
        <v>156</v>
      </c>
      <c r="B95" s="21"/>
      <c r="C95" s="2">
        <v>45995</v>
      </c>
      <c r="D95" s="9" t="s">
        <v>51</v>
      </c>
      <c r="E95" s="1" t="s">
        <v>52</v>
      </c>
      <c r="F95" s="4" t="s">
        <v>159</v>
      </c>
      <c r="G95" s="1">
        <v>1</v>
      </c>
      <c r="H95" s="1">
        <v>1</v>
      </c>
      <c r="I95" s="1"/>
      <c r="J95" s="1">
        <f>Table22[[#This Row],[Qty]]-Table22[[#This Row],[Qty arrive]]</f>
        <v>0</v>
      </c>
    </row>
    <row r="96" spans="1:10">
      <c r="A96" s="1" t="s">
        <v>156</v>
      </c>
      <c r="B96" s="21"/>
      <c r="C96" s="2">
        <v>45995</v>
      </c>
      <c r="D96" s="9" t="s">
        <v>51</v>
      </c>
      <c r="E96" s="1" t="s">
        <v>52</v>
      </c>
      <c r="F96" s="4" t="s">
        <v>160</v>
      </c>
      <c r="G96" s="1">
        <v>4</v>
      </c>
      <c r="H96" s="1"/>
      <c r="I96" s="1"/>
      <c r="J96" s="1">
        <f>Table22[[#This Row],[Qty]]-Table22[[#This Row],[Qty arrive]]</f>
        <v>4</v>
      </c>
    </row>
    <row r="97" spans="1:10">
      <c r="A97" s="1" t="s">
        <v>156</v>
      </c>
      <c r="B97" s="21"/>
      <c r="C97" s="2">
        <v>45995</v>
      </c>
      <c r="D97" s="9" t="s">
        <v>51</v>
      </c>
      <c r="E97" s="1" t="s">
        <v>52</v>
      </c>
      <c r="F97" s="4" t="s">
        <v>161</v>
      </c>
      <c r="G97" s="1">
        <v>1</v>
      </c>
      <c r="H97" s="1"/>
      <c r="I97" s="1"/>
      <c r="J97" s="1">
        <f>Table22[[#This Row],[Qty]]-Table22[[#This Row],[Qty arrive]]</f>
        <v>1</v>
      </c>
    </row>
    <row r="98" spans="1:10">
      <c r="A98" s="1" t="s">
        <v>162</v>
      </c>
      <c r="B98" s="21"/>
      <c r="C98" s="2">
        <v>45995</v>
      </c>
      <c r="D98" s="9" t="s">
        <v>42</v>
      </c>
      <c r="E98" s="1" t="s">
        <v>43</v>
      </c>
      <c r="F98" s="4" t="s">
        <v>163</v>
      </c>
      <c r="G98" s="1">
        <v>1</v>
      </c>
      <c r="H98" s="1"/>
      <c r="I98" s="1"/>
      <c r="J98" s="1">
        <f>Table22[[#This Row],[Qty]]-Table22[[#This Row],[Qty arrive]]</f>
        <v>1</v>
      </c>
    </row>
    <row r="99" spans="1:10">
      <c r="A99" s="1" t="s">
        <v>164</v>
      </c>
      <c r="B99" s="21"/>
      <c r="C99" s="2">
        <v>45995</v>
      </c>
      <c r="D99" s="9" t="s">
        <v>57</v>
      </c>
      <c r="E99" s="1" t="s">
        <v>58</v>
      </c>
      <c r="F99" s="4" t="s">
        <v>165</v>
      </c>
      <c r="G99" s="1">
        <v>6</v>
      </c>
      <c r="H99" s="1"/>
      <c r="I99" s="1"/>
      <c r="J99" s="1">
        <f>Table22[[#This Row],[Qty]]-Table22[[#This Row],[Qty arrive]]</f>
        <v>6</v>
      </c>
    </row>
    <row r="100" spans="1:10">
      <c r="A100" s="1" t="s">
        <v>166</v>
      </c>
      <c r="B100" s="21"/>
      <c r="C100" s="2">
        <v>45995</v>
      </c>
      <c r="D100" s="9" t="s">
        <v>167</v>
      </c>
      <c r="E100" s="1" t="s">
        <v>168</v>
      </c>
      <c r="F100" s="4" t="s">
        <v>169</v>
      </c>
      <c r="G100" s="1">
        <v>125</v>
      </c>
      <c r="H100" s="1">
        <v>125</v>
      </c>
      <c r="I100" s="1"/>
      <c r="J100" s="1">
        <f>Table22[[#This Row],[Qty]]-Table22[[#This Row],[Qty arrive]]</f>
        <v>0</v>
      </c>
    </row>
    <row r="101" spans="1:10">
      <c r="A101" s="1" t="s">
        <v>166</v>
      </c>
      <c r="B101" s="21"/>
      <c r="C101" s="2">
        <v>45995</v>
      </c>
      <c r="D101" s="9" t="s">
        <v>167</v>
      </c>
      <c r="E101" s="1" t="s">
        <v>168</v>
      </c>
      <c r="F101" s="4" t="s">
        <v>170</v>
      </c>
      <c r="G101" s="1">
        <v>40</v>
      </c>
      <c r="H101" s="1">
        <v>40</v>
      </c>
      <c r="I101" s="1"/>
      <c r="J101" s="1">
        <f>Table22[[#This Row],[Qty]]-Table22[[#This Row],[Qty arrive]]</f>
        <v>0</v>
      </c>
    </row>
    <row r="102" spans="1:10">
      <c r="A102" s="1" t="s">
        <v>166</v>
      </c>
      <c r="B102" s="21"/>
      <c r="C102" s="2">
        <v>45995</v>
      </c>
      <c r="D102" s="9" t="s">
        <v>167</v>
      </c>
      <c r="E102" s="1" t="s">
        <v>168</v>
      </c>
      <c r="F102" s="4" t="s">
        <v>171</v>
      </c>
      <c r="G102" s="1">
        <v>75</v>
      </c>
      <c r="H102" s="1">
        <v>75</v>
      </c>
      <c r="I102" s="1"/>
      <c r="J102" s="1">
        <f>Table22[[#This Row],[Qty]]-Table22[[#This Row],[Qty arrive]]</f>
        <v>0</v>
      </c>
    </row>
    <row r="103" spans="1:10">
      <c r="A103" s="1" t="s">
        <v>166</v>
      </c>
      <c r="B103" s="21"/>
      <c r="C103" s="2">
        <v>45995</v>
      </c>
      <c r="D103" s="9" t="s">
        <v>167</v>
      </c>
      <c r="E103" s="1" t="s">
        <v>168</v>
      </c>
      <c r="F103" s="4" t="s">
        <v>172</v>
      </c>
      <c r="G103" s="1">
        <v>100</v>
      </c>
      <c r="H103" s="1">
        <v>100</v>
      </c>
      <c r="I103" s="1"/>
      <c r="J103" s="1">
        <f>Table22[[#This Row],[Qty]]-Table22[[#This Row],[Qty arrive]]</f>
        <v>0</v>
      </c>
    </row>
    <row r="104" spans="1:10">
      <c r="A104" s="1" t="s">
        <v>166</v>
      </c>
      <c r="B104" s="21"/>
      <c r="C104" s="2">
        <v>45995</v>
      </c>
      <c r="D104" s="9" t="s">
        <v>167</v>
      </c>
      <c r="E104" s="1" t="s">
        <v>168</v>
      </c>
      <c r="F104" s="4" t="s">
        <v>173</v>
      </c>
      <c r="G104" s="1">
        <v>34</v>
      </c>
      <c r="H104" s="1">
        <v>34</v>
      </c>
      <c r="I104" s="1"/>
      <c r="J104" s="1">
        <f>Table22[[#This Row],[Qty]]-Table22[[#This Row],[Qty arrive]]</f>
        <v>0</v>
      </c>
    </row>
    <row r="105" spans="1:10">
      <c r="A105" s="1" t="s">
        <v>166</v>
      </c>
      <c r="B105" s="21"/>
      <c r="C105" s="2">
        <v>45995</v>
      </c>
      <c r="D105" s="9" t="s">
        <v>167</v>
      </c>
      <c r="E105" s="1" t="s">
        <v>168</v>
      </c>
      <c r="F105" s="4" t="s">
        <v>174</v>
      </c>
      <c r="G105" s="1">
        <v>15</v>
      </c>
      <c r="H105" s="1">
        <v>15</v>
      </c>
      <c r="I105" s="1"/>
      <c r="J105" s="1">
        <f>Table22[[#This Row],[Qty]]-Table22[[#This Row],[Qty arrive]]</f>
        <v>0</v>
      </c>
    </row>
    <row r="106" spans="1:10">
      <c r="A106" s="1" t="s">
        <v>166</v>
      </c>
      <c r="B106" s="21"/>
      <c r="C106" s="2">
        <v>45995</v>
      </c>
      <c r="D106" s="9" t="s">
        <v>167</v>
      </c>
      <c r="E106" s="1" t="s">
        <v>168</v>
      </c>
      <c r="F106" s="4"/>
      <c r="G106" s="1">
        <v>50</v>
      </c>
      <c r="H106" s="1">
        <v>50</v>
      </c>
      <c r="I106" s="1"/>
      <c r="J106" s="1">
        <f>Table22[[#This Row],[Qty]]-Table22[[#This Row],[Qty arrive]]</f>
        <v>0</v>
      </c>
    </row>
    <row r="107" spans="1:10">
      <c r="A107" s="1" t="s">
        <v>166</v>
      </c>
      <c r="B107" s="21"/>
      <c r="C107" s="2">
        <v>45995</v>
      </c>
      <c r="D107" s="9" t="s">
        <v>167</v>
      </c>
      <c r="E107" s="1" t="s">
        <v>168</v>
      </c>
      <c r="F107" s="4" t="s">
        <v>175</v>
      </c>
      <c r="G107" s="1">
        <v>100</v>
      </c>
      <c r="H107" s="1">
        <v>100</v>
      </c>
      <c r="I107" s="1"/>
      <c r="J107" s="1">
        <f>Table22[[#This Row],[Qty]]-Table22[[#This Row],[Qty arrive]]</f>
        <v>0</v>
      </c>
    </row>
    <row r="108" spans="1:10">
      <c r="A108" s="1" t="s">
        <v>166</v>
      </c>
      <c r="B108" s="21"/>
      <c r="C108" s="2">
        <v>45995</v>
      </c>
      <c r="D108" s="9" t="s">
        <v>167</v>
      </c>
      <c r="E108" s="1" t="s">
        <v>168</v>
      </c>
      <c r="F108" s="4" t="s">
        <v>176</v>
      </c>
      <c r="G108" s="1">
        <v>1</v>
      </c>
      <c r="H108" s="1"/>
      <c r="I108" s="1"/>
      <c r="J108" s="1">
        <f>Table22[[#This Row],[Qty]]-Table22[[#This Row],[Qty arrive]]</f>
        <v>1</v>
      </c>
    </row>
    <row r="109" spans="1:10">
      <c r="A109" s="1" t="s">
        <v>166</v>
      </c>
      <c r="B109" s="21"/>
      <c r="C109" s="2">
        <v>45995</v>
      </c>
      <c r="D109" s="9" t="s">
        <v>167</v>
      </c>
      <c r="E109" s="1" t="s">
        <v>168</v>
      </c>
      <c r="F109" s="4" t="s">
        <v>177</v>
      </c>
      <c r="G109" s="1">
        <v>1</v>
      </c>
      <c r="H109" s="1"/>
      <c r="I109" s="1"/>
      <c r="J109" s="1">
        <f>Table22[[#This Row],[Qty]]-Table22[[#This Row],[Qty arrive]]</f>
        <v>1</v>
      </c>
    </row>
    <row r="110" spans="1:10">
      <c r="A110" s="1" t="s">
        <v>178</v>
      </c>
      <c r="B110" s="21"/>
      <c r="C110" s="2">
        <v>45996</v>
      </c>
      <c r="D110" s="9" t="s">
        <v>72</v>
      </c>
      <c r="E110" s="1" t="s">
        <v>179</v>
      </c>
      <c r="F110" s="9" t="s">
        <v>146</v>
      </c>
      <c r="G110" s="1">
        <v>3</v>
      </c>
      <c r="H110" s="1">
        <v>3</v>
      </c>
      <c r="I110" s="1"/>
      <c r="J110" s="1">
        <f>Table22[[#This Row],[Qty]]-Table22[[#This Row],[Qty arrive]]</f>
        <v>0</v>
      </c>
    </row>
    <row r="111" spans="1:10">
      <c r="A111" s="1" t="s">
        <v>178</v>
      </c>
      <c r="B111" s="21"/>
      <c r="C111" s="2">
        <v>45996</v>
      </c>
      <c r="D111" s="9" t="s">
        <v>72</v>
      </c>
      <c r="E111" s="1" t="s">
        <v>179</v>
      </c>
      <c r="F111" s="9" t="s">
        <v>180</v>
      </c>
      <c r="G111" s="1">
        <v>2</v>
      </c>
      <c r="H111" s="1">
        <v>2</v>
      </c>
      <c r="I111" s="1"/>
      <c r="J111" s="1">
        <f>Table22[[#This Row],[Qty]]-Table22[[#This Row],[Qty arrive]]</f>
        <v>0</v>
      </c>
    </row>
    <row r="112" spans="1:10">
      <c r="A112" s="1" t="s">
        <v>178</v>
      </c>
      <c r="B112" s="21"/>
      <c r="C112" s="2">
        <v>45996</v>
      </c>
      <c r="D112" s="9" t="s">
        <v>72</v>
      </c>
      <c r="E112" s="1" t="s">
        <v>179</v>
      </c>
      <c r="F112" s="9" t="s">
        <v>87</v>
      </c>
      <c r="G112" s="1">
        <v>1</v>
      </c>
      <c r="H112" s="1">
        <v>1</v>
      </c>
      <c r="I112" s="1"/>
      <c r="J112" s="1">
        <f>Table22[[#This Row],[Qty]]-Table22[[#This Row],[Qty arrive]]</f>
        <v>0</v>
      </c>
    </row>
    <row r="113" spans="1:10">
      <c r="A113" s="1" t="s">
        <v>178</v>
      </c>
      <c r="B113" s="21"/>
      <c r="C113" s="2">
        <v>45996</v>
      </c>
      <c r="D113" s="9" t="s">
        <v>72</v>
      </c>
      <c r="E113" s="1" t="s">
        <v>179</v>
      </c>
      <c r="F113" s="9" t="s">
        <v>181</v>
      </c>
      <c r="G113" s="1">
        <v>1</v>
      </c>
      <c r="H113" s="1">
        <v>1</v>
      </c>
      <c r="I113" s="1"/>
      <c r="J113" s="1">
        <f>Table22[[#This Row],[Qty]]-Table22[[#This Row],[Qty arrive]]</f>
        <v>0</v>
      </c>
    </row>
    <row r="114" spans="1:10">
      <c r="A114" s="1" t="s">
        <v>182</v>
      </c>
      <c r="B114" s="21"/>
      <c r="C114" s="2">
        <v>45999</v>
      </c>
      <c r="D114" s="9" t="s">
        <v>183</v>
      </c>
      <c r="E114" s="1" t="s">
        <v>184</v>
      </c>
      <c r="F114" s="4" t="s">
        <v>185</v>
      </c>
      <c r="G114" s="1">
        <v>1</v>
      </c>
      <c r="H114" s="1">
        <v>1</v>
      </c>
      <c r="I114" s="1"/>
      <c r="J114" s="1">
        <f>Table22[[#This Row],[Qty]]-Table22[[#This Row],[Qty arrive]]</f>
        <v>0</v>
      </c>
    </row>
    <row r="115" spans="1:10">
      <c r="A115" s="1" t="s">
        <v>182</v>
      </c>
      <c r="B115" s="21"/>
      <c r="C115" s="2">
        <v>45999</v>
      </c>
      <c r="D115" s="9" t="s">
        <v>183</v>
      </c>
      <c r="E115" s="1" t="s">
        <v>184</v>
      </c>
      <c r="F115" s="4" t="s">
        <v>186</v>
      </c>
      <c r="G115" s="1">
        <v>1</v>
      </c>
      <c r="H115" s="1">
        <v>1</v>
      </c>
      <c r="I115" s="1"/>
      <c r="J115" s="1">
        <f>Table22[[#This Row],[Qty]]-Table22[[#This Row],[Qty arrive]]</f>
        <v>0</v>
      </c>
    </row>
    <row r="116" spans="1:10">
      <c r="A116" s="1" t="s">
        <v>187</v>
      </c>
      <c r="B116" s="21"/>
      <c r="C116" s="2">
        <v>46000</v>
      </c>
      <c r="D116" s="19" t="s">
        <v>188</v>
      </c>
      <c r="E116" s="1" t="s">
        <v>189</v>
      </c>
      <c r="F116" s="4" t="s">
        <v>186</v>
      </c>
      <c r="G116" s="1">
        <v>1</v>
      </c>
      <c r="H116" s="1"/>
      <c r="I116" s="1"/>
      <c r="J116" s="1">
        <f>Table22[[#This Row],[Qty]]-Table22[[#This Row],[Qty arrive]]</f>
        <v>1</v>
      </c>
    </row>
    <row r="117" spans="1:10">
      <c r="A117" s="1" t="s">
        <v>190</v>
      </c>
      <c r="B117" s="21"/>
      <c r="C117" s="2">
        <v>46000</v>
      </c>
      <c r="D117" s="19" t="s">
        <v>188</v>
      </c>
      <c r="E117" s="1" t="s">
        <v>189</v>
      </c>
      <c r="F117" s="4" t="s">
        <v>191</v>
      </c>
      <c r="G117" s="1">
        <v>1000</v>
      </c>
      <c r="H117" s="1"/>
      <c r="I117" s="1"/>
      <c r="J117" s="1">
        <f>Table22[[#This Row],[Qty]]-Table22[[#This Row],[Qty arrive]]</f>
        <v>1000</v>
      </c>
    </row>
    <row r="118" spans="1:10">
      <c r="A118" s="1" t="s">
        <v>192</v>
      </c>
      <c r="B118" s="21"/>
      <c r="C118" s="2">
        <v>46000</v>
      </c>
      <c r="D118" s="19" t="s">
        <v>57</v>
      </c>
      <c r="E118" s="1" t="s">
        <v>58</v>
      </c>
      <c r="F118" s="4" t="s">
        <v>193</v>
      </c>
      <c r="G118" s="1">
        <v>5</v>
      </c>
      <c r="H118" s="1"/>
      <c r="I118" s="1"/>
      <c r="J118" s="1">
        <f>Table22[[#This Row],[Qty]]-Table22[[#This Row],[Qty arrive]]</f>
        <v>5</v>
      </c>
    </row>
    <row r="119" spans="1:10">
      <c r="A119" s="1" t="s">
        <v>192</v>
      </c>
      <c r="B119" s="21"/>
      <c r="C119" s="2">
        <v>46000</v>
      </c>
      <c r="D119" s="19" t="s">
        <v>57</v>
      </c>
      <c r="E119" s="1" t="s">
        <v>58</v>
      </c>
      <c r="F119" s="4" t="s">
        <v>194</v>
      </c>
      <c r="G119" s="1">
        <v>450</v>
      </c>
      <c r="H119" s="1"/>
      <c r="I119" s="1"/>
      <c r="J119" s="1">
        <f>Table22[[#This Row],[Qty]]-Table22[[#This Row],[Qty arrive]]</f>
        <v>450</v>
      </c>
    </row>
    <row r="120" spans="1:10">
      <c r="A120" s="1" t="s">
        <v>192</v>
      </c>
      <c r="B120" s="21"/>
      <c r="C120" s="2">
        <v>46000</v>
      </c>
      <c r="D120" s="19" t="s">
        <v>57</v>
      </c>
      <c r="E120" s="1" t="s">
        <v>58</v>
      </c>
      <c r="F120" s="4" t="s">
        <v>195</v>
      </c>
      <c r="G120" s="1">
        <v>450</v>
      </c>
      <c r="H120" s="1"/>
      <c r="I120" s="1"/>
      <c r="J120" s="1">
        <f>Table22[[#This Row],[Qty]]-Table22[[#This Row],[Qty arrive]]</f>
        <v>450</v>
      </c>
    </row>
    <row r="121" spans="1:10">
      <c r="A121" s="13" t="s">
        <v>196</v>
      </c>
      <c r="B121" s="22"/>
      <c r="C121" s="14">
        <v>46003</v>
      </c>
      <c r="D121" s="20" t="s">
        <v>197</v>
      </c>
      <c r="E121" s="13" t="s">
        <v>198</v>
      </c>
      <c r="F121" s="15" t="s">
        <v>93</v>
      </c>
      <c r="G121" s="13">
        <v>20</v>
      </c>
      <c r="H121" s="13"/>
      <c r="I121" s="13"/>
      <c r="J121" s="13">
        <f>Table22[[#This Row],[Qty]]-Table22[[#This Row],[Qty arrive]]</f>
        <v>20</v>
      </c>
    </row>
    <row r="122" spans="1:10">
      <c r="A122" s="1" t="s">
        <v>199</v>
      </c>
      <c r="B122" s="21"/>
      <c r="C122" s="2">
        <v>46003</v>
      </c>
      <c r="D122" s="9" t="s">
        <v>42</v>
      </c>
      <c r="E122" s="1" t="s">
        <v>43</v>
      </c>
      <c r="F122" s="4" t="s">
        <v>200</v>
      </c>
      <c r="G122" s="1">
        <v>1</v>
      </c>
      <c r="H122" s="1">
        <v>1</v>
      </c>
      <c r="I122" s="1"/>
      <c r="J122" s="1">
        <f>Table22[[#This Row],[Qty]]-Table22[[#This Row],[Qty arrive]]</f>
        <v>0</v>
      </c>
    </row>
    <row r="123" spans="1:10">
      <c r="A123" s="1" t="s">
        <v>199</v>
      </c>
      <c r="B123" s="21"/>
      <c r="C123" s="2">
        <v>46003</v>
      </c>
      <c r="D123" s="9" t="s">
        <v>42</v>
      </c>
      <c r="E123" s="1" t="s">
        <v>43</v>
      </c>
      <c r="F123" s="4" t="s">
        <v>201</v>
      </c>
      <c r="G123" s="1">
        <v>1</v>
      </c>
      <c r="H123" s="1">
        <v>1</v>
      </c>
      <c r="I123" s="1"/>
      <c r="J123" s="1">
        <f>Table22[[#This Row],[Qty]]-Table22[[#This Row],[Qty arrive]]</f>
        <v>0</v>
      </c>
    </row>
    <row r="124" spans="1:10">
      <c r="A124" s="1" t="s">
        <v>202</v>
      </c>
      <c r="B124" s="21"/>
      <c r="C124" s="2">
        <v>46006</v>
      </c>
      <c r="D124" s="9" t="s">
        <v>62</v>
      </c>
      <c r="E124" s="1" t="s">
        <v>122</v>
      </c>
      <c r="F124" s="11" t="s">
        <v>64</v>
      </c>
      <c r="G124" s="12">
        <v>20</v>
      </c>
      <c r="H124" s="1">
        <v>20</v>
      </c>
      <c r="I124" s="1"/>
      <c r="J124" s="1">
        <f>Table22[[#This Row],[Qty]]-Table22[[#This Row],[Qty arrive]]</f>
        <v>0</v>
      </c>
    </row>
    <row r="125" spans="1:10">
      <c r="A125" s="1" t="s">
        <v>203</v>
      </c>
      <c r="B125" s="21"/>
      <c r="C125" s="2">
        <v>46006</v>
      </c>
      <c r="D125" s="9" t="s">
        <v>62</v>
      </c>
      <c r="E125" s="1" t="s">
        <v>68</v>
      </c>
      <c r="F125" s="4" t="s">
        <v>204</v>
      </c>
      <c r="G125" s="1">
        <v>10</v>
      </c>
      <c r="H125" s="1"/>
      <c r="I125" s="1"/>
      <c r="J125" s="1">
        <f>Table22[[#This Row],[Qty]]-Table22[[#This Row],[Qty arrive]]</f>
        <v>10</v>
      </c>
    </row>
    <row r="126" spans="1:10">
      <c r="A126" s="1" t="s">
        <v>205</v>
      </c>
      <c r="B126" s="21"/>
      <c r="C126" s="2">
        <v>46006</v>
      </c>
      <c r="D126" s="19" t="s">
        <v>38</v>
      </c>
      <c r="E126" s="1" t="s">
        <v>39</v>
      </c>
      <c r="F126" s="4" t="s">
        <v>149</v>
      </c>
      <c r="G126" s="1">
        <v>10</v>
      </c>
      <c r="H126" s="1"/>
      <c r="I126" s="1"/>
      <c r="J126" s="1">
        <f>Table22[[#This Row],[Qty]]-Table22[[#This Row],[Qty arrive]]</f>
        <v>10</v>
      </c>
    </row>
    <row r="127" spans="1:10">
      <c r="A127" s="1" t="s">
        <v>206</v>
      </c>
      <c r="B127" s="21"/>
      <c r="C127" s="2">
        <v>46006</v>
      </c>
      <c r="D127" s="19" t="s">
        <v>38</v>
      </c>
      <c r="E127" s="1" t="s">
        <v>207</v>
      </c>
      <c r="F127" s="4" t="s">
        <v>208</v>
      </c>
      <c r="G127" s="1">
        <v>58</v>
      </c>
      <c r="H127" s="1"/>
      <c r="I127" s="1"/>
      <c r="J127" s="1">
        <f>Table22[[#This Row],[Qty]]-Table22[[#This Row],[Qty arrive]]</f>
        <v>58</v>
      </c>
    </row>
    <row r="128" spans="1:10">
      <c r="A128" s="1" t="s">
        <v>206</v>
      </c>
      <c r="B128" s="21"/>
      <c r="C128" s="2">
        <v>46006</v>
      </c>
      <c r="D128" s="19" t="s">
        <v>209</v>
      </c>
      <c r="E128" s="1" t="s">
        <v>210</v>
      </c>
      <c r="F128" s="4" t="s">
        <v>211</v>
      </c>
      <c r="G128" s="1">
        <v>40</v>
      </c>
      <c r="H128" s="1"/>
      <c r="I128" s="1"/>
      <c r="J128" s="1">
        <f>Table22[[#This Row],[Qty]]-Table22[[#This Row],[Qty arrive]]</f>
        <v>40</v>
      </c>
    </row>
    <row r="129" spans="1:10">
      <c r="A129" s="1" t="s">
        <v>206</v>
      </c>
      <c r="B129" s="21"/>
      <c r="C129" s="2">
        <v>46006</v>
      </c>
      <c r="D129" s="19" t="s">
        <v>209</v>
      </c>
      <c r="E129" s="1" t="s">
        <v>212</v>
      </c>
      <c r="F129" s="4" t="s">
        <v>213</v>
      </c>
      <c r="G129" s="1">
        <v>110</v>
      </c>
      <c r="H129" s="1"/>
      <c r="I129" s="1"/>
      <c r="J129" s="1">
        <f>Table22[[#This Row],[Qty]]-Table22[[#This Row],[Qty arrive]]</f>
        <v>110</v>
      </c>
    </row>
    <row r="130" spans="1:10">
      <c r="A130" s="1" t="s">
        <v>206</v>
      </c>
      <c r="B130" s="21"/>
      <c r="C130" s="2">
        <v>46006</v>
      </c>
      <c r="D130" s="19" t="s">
        <v>209</v>
      </c>
      <c r="E130" s="1" t="s">
        <v>145</v>
      </c>
      <c r="F130" s="4" t="s">
        <v>211</v>
      </c>
      <c r="G130" s="1">
        <v>36</v>
      </c>
      <c r="H130" s="1"/>
      <c r="I130" s="1"/>
      <c r="J130" s="1">
        <f>Table22[[#This Row],[Qty]]-Table22[[#This Row],[Qty arrive]]</f>
        <v>36</v>
      </c>
    </row>
    <row r="131" spans="1:10">
      <c r="A131" s="1" t="s">
        <v>206</v>
      </c>
      <c r="B131" s="21"/>
      <c r="C131" s="2">
        <v>46006</v>
      </c>
      <c r="D131" s="19" t="s">
        <v>209</v>
      </c>
      <c r="E131" s="1" t="s">
        <v>214</v>
      </c>
      <c r="F131" s="4" t="s">
        <v>211</v>
      </c>
      <c r="G131" s="1">
        <v>25</v>
      </c>
      <c r="H131" s="1"/>
      <c r="I131" s="1"/>
      <c r="J131" s="1">
        <f>Table22[[#This Row],[Qty]]-Table22[[#This Row],[Qty arrive]]</f>
        <v>25</v>
      </c>
    </row>
    <row r="132" spans="1:10">
      <c r="A132" s="1" t="s">
        <v>206</v>
      </c>
      <c r="B132" s="21"/>
      <c r="C132" s="2">
        <v>46006</v>
      </c>
      <c r="D132" s="19" t="s">
        <v>209</v>
      </c>
      <c r="E132" s="1" t="s">
        <v>215</v>
      </c>
      <c r="F132" s="4" t="s">
        <v>211</v>
      </c>
      <c r="G132" s="1">
        <v>18</v>
      </c>
      <c r="H132" s="1"/>
      <c r="I132" s="1"/>
      <c r="J132" s="1">
        <f>Table22[[#This Row],[Qty]]-Table22[[#This Row],[Qty arrive]]</f>
        <v>18</v>
      </c>
    </row>
    <row r="133" spans="1:10">
      <c r="A133" s="1" t="s">
        <v>206</v>
      </c>
      <c r="B133" s="21"/>
      <c r="C133" s="2">
        <v>46006</v>
      </c>
      <c r="D133" s="19" t="s">
        <v>209</v>
      </c>
      <c r="E133" s="1" t="s">
        <v>216</v>
      </c>
      <c r="F133" s="4" t="s">
        <v>217</v>
      </c>
      <c r="G133" s="1">
        <v>24</v>
      </c>
      <c r="H133" s="1"/>
      <c r="I133" s="1"/>
      <c r="J133" s="1">
        <f>Table22[[#This Row],[Qty]]-Table22[[#This Row],[Qty arrive]]</f>
        <v>24</v>
      </c>
    </row>
    <row r="134" spans="1:10">
      <c r="A134" s="1" t="s">
        <v>218</v>
      </c>
      <c r="B134" s="21"/>
      <c r="C134" s="2">
        <v>46009</v>
      </c>
      <c r="D134" s="19" t="s">
        <v>42</v>
      </c>
      <c r="E134" s="1" t="s">
        <v>219</v>
      </c>
      <c r="F134" s="4" t="s">
        <v>220</v>
      </c>
      <c r="G134" s="1">
        <v>1</v>
      </c>
      <c r="H134" s="1">
        <v>1</v>
      </c>
      <c r="I134" s="1"/>
      <c r="J134" s="1">
        <f>Table22[[#This Row],[Qty]]-Table22[[#This Row],[Qty arrive]]</f>
        <v>0</v>
      </c>
    </row>
    <row r="135" spans="1:10">
      <c r="A135" s="13" t="s">
        <v>221</v>
      </c>
      <c r="B135" s="22"/>
      <c r="C135" s="14">
        <v>46009</v>
      </c>
      <c r="D135" s="20" t="s">
        <v>42</v>
      </c>
      <c r="E135" s="13" t="s">
        <v>219</v>
      </c>
      <c r="F135" s="15" t="s">
        <v>222</v>
      </c>
      <c r="G135" s="13">
        <v>0</v>
      </c>
      <c r="H135" s="13"/>
      <c r="I135" s="13"/>
      <c r="J135" s="13">
        <f>Table22[[#This Row],[Qty]]-Table22[[#This Row],[Qty arrive]]</f>
        <v>0</v>
      </c>
    </row>
    <row r="136" spans="1:10">
      <c r="A136" s="1" t="s">
        <v>223</v>
      </c>
      <c r="B136" s="21"/>
      <c r="C136" s="2">
        <v>46009</v>
      </c>
      <c r="D136" s="9" t="s">
        <v>62</v>
      </c>
      <c r="E136" s="1" t="s">
        <v>122</v>
      </c>
      <c r="F136" s="4" t="s">
        <v>224</v>
      </c>
      <c r="G136" s="1">
        <v>20</v>
      </c>
      <c r="H136" s="1">
        <v>20</v>
      </c>
      <c r="I136" s="1"/>
      <c r="J136" s="1">
        <f>Table22[[#This Row],[Qty]]-Table22[[#This Row],[Qty arrive]]</f>
        <v>0</v>
      </c>
    </row>
    <row r="137" spans="1:10">
      <c r="A137" s="1" t="s">
        <v>223</v>
      </c>
      <c r="B137" s="21"/>
      <c r="C137" s="2">
        <v>46009</v>
      </c>
      <c r="D137" s="9" t="s">
        <v>62</v>
      </c>
      <c r="E137" s="1" t="s">
        <v>122</v>
      </c>
      <c r="F137" s="4" t="s">
        <v>225</v>
      </c>
      <c r="G137" s="1">
        <v>15</v>
      </c>
      <c r="H137" s="1">
        <v>15</v>
      </c>
      <c r="I137" s="1"/>
      <c r="J137" s="1">
        <f>Table22[[#This Row],[Qty]]-Table22[[#This Row],[Qty arrive]]</f>
        <v>0</v>
      </c>
    </row>
    <row r="138" spans="1:10">
      <c r="A138" s="1" t="s">
        <v>223</v>
      </c>
      <c r="B138" s="21"/>
      <c r="C138" s="2">
        <v>46009</v>
      </c>
      <c r="D138" s="9" t="s">
        <v>62</v>
      </c>
      <c r="E138" s="1" t="s">
        <v>122</v>
      </c>
      <c r="F138" s="4" t="s">
        <v>226</v>
      </c>
      <c r="G138" s="1">
        <v>1</v>
      </c>
      <c r="H138" s="1">
        <v>1</v>
      </c>
      <c r="I138" s="1"/>
      <c r="J138" s="1">
        <f>Table22[[#This Row],[Qty]]-Table22[[#This Row],[Qty arrive]]</f>
        <v>0</v>
      </c>
    </row>
    <row r="139" spans="1:10">
      <c r="A139" s="13" t="s">
        <v>227</v>
      </c>
      <c r="B139" s="22"/>
      <c r="C139" s="14">
        <v>46017</v>
      </c>
      <c r="D139" s="20" t="s">
        <v>42</v>
      </c>
      <c r="E139" s="13" t="s">
        <v>219</v>
      </c>
      <c r="F139" s="15" t="s">
        <v>228</v>
      </c>
      <c r="G139" s="13">
        <v>0</v>
      </c>
      <c r="H139" s="13"/>
      <c r="I139" s="13"/>
      <c r="J139" s="13">
        <f>Table22[[#This Row],[Qty]]-Table22[[#This Row],[Qty arrive]]</f>
        <v>0</v>
      </c>
    </row>
    <row r="140" spans="1:10">
      <c r="A140" s="13" t="s">
        <v>227</v>
      </c>
      <c r="B140" s="22"/>
      <c r="C140" s="14">
        <v>46017</v>
      </c>
      <c r="D140" s="20" t="s">
        <v>42</v>
      </c>
      <c r="E140" s="13" t="s">
        <v>219</v>
      </c>
      <c r="F140" s="15" t="s">
        <v>229</v>
      </c>
      <c r="G140" s="13">
        <v>0</v>
      </c>
      <c r="H140" s="13"/>
      <c r="I140" s="13"/>
      <c r="J140" s="13">
        <f>Table22[[#This Row],[Qty]]-Table22[[#This Row],[Qty arrive]]</f>
        <v>0</v>
      </c>
    </row>
    <row r="141" spans="1:10">
      <c r="A141" s="1" t="s">
        <v>230</v>
      </c>
      <c r="B141" s="21"/>
      <c r="C141" s="2">
        <v>46019</v>
      </c>
      <c r="D141" s="19" t="s">
        <v>231</v>
      </c>
      <c r="E141" s="4" t="s">
        <v>232</v>
      </c>
      <c r="F141" s="4" t="s">
        <v>233</v>
      </c>
      <c r="G141" s="1">
        <v>5</v>
      </c>
      <c r="H141" s="1">
        <v>5</v>
      </c>
      <c r="I141" s="1"/>
      <c r="J141" s="1">
        <f>Table22[[#This Row],[Qty]]-Table22[[#This Row],[Qty arrive]]</f>
        <v>0</v>
      </c>
    </row>
    <row r="142" spans="1:10">
      <c r="A142" s="1" t="s">
        <v>234</v>
      </c>
      <c r="B142" s="21"/>
      <c r="C142" s="2">
        <v>46022</v>
      </c>
      <c r="D142" s="19" t="s">
        <v>62</v>
      </c>
      <c r="E142" s="1" t="s">
        <v>122</v>
      </c>
      <c r="F142" s="9" t="s">
        <v>235</v>
      </c>
      <c r="G142" s="1">
        <v>20</v>
      </c>
      <c r="H142" s="1">
        <v>20</v>
      </c>
      <c r="I142" s="1"/>
      <c r="J142" s="1">
        <f>Table22[[#This Row],[Qty]]-Table22[[#This Row],[Qty arrive]]</f>
        <v>0</v>
      </c>
    </row>
    <row r="143" spans="1:10">
      <c r="A143" s="1" t="s">
        <v>234</v>
      </c>
      <c r="B143" s="21"/>
      <c r="C143" s="2">
        <v>46022</v>
      </c>
      <c r="D143" s="19" t="s">
        <v>62</v>
      </c>
      <c r="E143" s="1" t="s">
        <v>122</v>
      </c>
      <c r="F143" s="9" t="s">
        <v>236</v>
      </c>
      <c r="G143" s="1">
        <v>5</v>
      </c>
      <c r="H143" s="1">
        <v>5</v>
      </c>
      <c r="I143" s="1"/>
      <c r="J143" s="1">
        <f>Table22[[#This Row],[Qty]]-Table22[[#This Row],[Qty arrive]]</f>
        <v>0</v>
      </c>
    </row>
    <row r="144" spans="1:10">
      <c r="A144" s="1" t="s">
        <v>234</v>
      </c>
      <c r="B144" s="21"/>
      <c r="C144" s="2">
        <v>46022</v>
      </c>
      <c r="D144" s="19" t="s">
        <v>62</v>
      </c>
      <c r="E144" s="1" t="s">
        <v>122</v>
      </c>
      <c r="F144" s="9" t="s">
        <v>237</v>
      </c>
      <c r="G144" s="1">
        <v>3</v>
      </c>
      <c r="H144" s="1">
        <v>3</v>
      </c>
      <c r="I144" s="1"/>
      <c r="J144" s="1">
        <f>Table22[[#This Row],[Qty]]-Table22[[#This Row],[Qty arrive]]</f>
        <v>0</v>
      </c>
    </row>
    <row r="145" spans="1:10">
      <c r="A145" s="1" t="s">
        <v>238</v>
      </c>
      <c r="B145" s="21"/>
      <c r="C145" s="2">
        <v>46022</v>
      </c>
      <c r="D145" s="19" t="s">
        <v>62</v>
      </c>
      <c r="E145" s="1" t="s">
        <v>239</v>
      </c>
      <c r="F145" s="9" t="s">
        <v>240</v>
      </c>
      <c r="G145" s="1">
        <v>1</v>
      </c>
      <c r="H145" s="1"/>
      <c r="I145" s="1"/>
      <c r="J145" s="1">
        <f>Table22[[#This Row],[Qty]]-Table22[[#This Row],[Qty arrive]]</f>
        <v>1</v>
      </c>
    </row>
    <row r="146" spans="1:10">
      <c r="A146" s="1" t="s">
        <v>238</v>
      </c>
      <c r="B146" s="21"/>
      <c r="C146" s="2">
        <v>46022</v>
      </c>
      <c r="D146" s="19" t="s">
        <v>62</v>
      </c>
      <c r="E146" s="1" t="s">
        <v>241</v>
      </c>
      <c r="F146" s="9" t="s">
        <v>242</v>
      </c>
      <c r="G146" s="1">
        <v>1</v>
      </c>
      <c r="H146" s="1"/>
      <c r="I146" s="1"/>
      <c r="J146" s="1">
        <f>Table22[[#This Row],[Qty]]-Table22[[#This Row],[Qty arrive]]</f>
        <v>1</v>
      </c>
    </row>
    <row r="147" spans="1:10">
      <c r="A147" s="1" t="s">
        <v>243</v>
      </c>
      <c r="B147" s="21"/>
      <c r="C147" s="2">
        <v>46022</v>
      </c>
      <c r="D147" s="19" t="s">
        <v>57</v>
      </c>
      <c r="E147" s="1" t="s">
        <v>58</v>
      </c>
      <c r="F147" s="9" t="s">
        <v>244</v>
      </c>
      <c r="G147" s="1">
        <v>1</v>
      </c>
      <c r="H147" s="1"/>
      <c r="I147" s="1"/>
      <c r="J147" s="1">
        <f>Table22[[#This Row],[Qty]]-Table22[[#This Row],[Qty arrive]]</f>
        <v>1</v>
      </c>
    </row>
    <row r="148" spans="1:10">
      <c r="A148" s="1" t="s">
        <v>243</v>
      </c>
      <c r="B148" s="21"/>
      <c r="C148" s="2">
        <v>46022</v>
      </c>
      <c r="D148" s="19" t="s">
        <v>57</v>
      </c>
      <c r="E148" s="1" t="s">
        <v>58</v>
      </c>
      <c r="F148" s="9" t="s">
        <v>245</v>
      </c>
      <c r="G148" s="1">
        <v>3</v>
      </c>
      <c r="H148" s="1">
        <v>3</v>
      </c>
      <c r="I148" s="1"/>
      <c r="J148" s="1">
        <f>Table22[[#This Row],[Qty]]-Table22[[#This Row],[Qty arrive]]</f>
        <v>0</v>
      </c>
    </row>
    <row r="149" spans="1:10">
      <c r="A149" s="1" t="s">
        <v>246</v>
      </c>
      <c r="B149" s="21"/>
      <c r="C149" s="2">
        <v>46022</v>
      </c>
      <c r="D149" s="19" t="s">
        <v>247</v>
      </c>
      <c r="E149" s="1" t="s">
        <v>248</v>
      </c>
      <c r="F149" s="9" t="s">
        <v>249</v>
      </c>
      <c r="G149" s="1">
        <v>8</v>
      </c>
      <c r="H149" s="1">
        <v>8</v>
      </c>
      <c r="I149" s="1"/>
      <c r="J149" s="1">
        <f>Table22[[#This Row],[Qty]]-Table22[[#This Row],[Qty arrive]]</f>
        <v>0</v>
      </c>
    </row>
    <row r="150" spans="1:10">
      <c r="A150" s="1" t="s">
        <v>246</v>
      </c>
      <c r="B150" s="21"/>
      <c r="C150" s="2">
        <v>46022</v>
      </c>
      <c r="D150" s="19" t="s">
        <v>247</v>
      </c>
      <c r="E150" s="1" t="s">
        <v>248</v>
      </c>
      <c r="F150" s="9" t="s">
        <v>250</v>
      </c>
      <c r="G150" s="1">
        <v>7</v>
      </c>
      <c r="H150" s="1">
        <v>7</v>
      </c>
      <c r="I150" s="1"/>
      <c r="J150" s="1">
        <f>Table22[[#This Row],[Qty]]-Table22[[#This Row],[Qty arrive]]</f>
        <v>0</v>
      </c>
    </row>
    <row r="151" spans="1:10">
      <c r="A151" s="1" t="s">
        <v>246</v>
      </c>
      <c r="B151" s="21"/>
      <c r="C151" s="2">
        <v>46022</v>
      </c>
      <c r="D151" s="19" t="s">
        <v>247</v>
      </c>
      <c r="E151" s="1" t="s">
        <v>248</v>
      </c>
      <c r="F151" s="9" t="s">
        <v>251</v>
      </c>
      <c r="G151" s="1">
        <v>1</v>
      </c>
      <c r="H151" s="1">
        <v>1</v>
      </c>
      <c r="I151" s="1"/>
      <c r="J151" s="1">
        <f>Table22[[#This Row],[Qty]]-Table22[[#This Row],[Qty arrive]]</f>
        <v>0</v>
      </c>
    </row>
    <row r="152" spans="1:10">
      <c r="A152" s="1" t="s">
        <v>246</v>
      </c>
      <c r="B152" s="21"/>
      <c r="C152" s="2">
        <v>46022</v>
      </c>
      <c r="D152" s="19" t="s">
        <v>247</v>
      </c>
      <c r="E152" s="1" t="s">
        <v>248</v>
      </c>
      <c r="F152" s="9" t="s">
        <v>252</v>
      </c>
      <c r="G152" s="1">
        <v>12</v>
      </c>
      <c r="H152" s="1">
        <v>12</v>
      </c>
      <c r="I152" s="1"/>
      <c r="J152" s="1">
        <f>Table22[[#This Row],[Qty]]-Table22[[#This Row],[Qty arrive]]</f>
        <v>0</v>
      </c>
    </row>
    <row r="153" spans="1:10">
      <c r="A153" s="1" t="s">
        <v>253</v>
      </c>
      <c r="B153" s="21"/>
      <c r="C153" s="2">
        <v>46027</v>
      </c>
      <c r="D153" s="19" t="s">
        <v>254</v>
      </c>
      <c r="E153" s="1" t="s">
        <v>254</v>
      </c>
      <c r="F153" s="4" t="s">
        <v>255</v>
      </c>
      <c r="G153" s="1">
        <v>1</v>
      </c>
      <c r="H153" s="1">
        <v>1</v>
      </c>
      <c r="I153" s="1"/>
      <c r="J153" s="1">
        <f>Table22[[#This Row],[Qty]]-Table22[[#This Row],[Qty arrive]]</f>
        <v>0</v>
      </c>
    </row>
    <row r="154" spans="1:10">
      <c r="A154" s="1" t="s">
        <v>256</v>
      </c>
      <c r="B154" s="21"/>
      <c r="C154" s="2">
        <v>46028</v>
      </c>
      <c r="D154" s="19" t="s">
        <v>62</v>
      </c>
      <c r="E154" s="1" t="s">
        <v>239</v>
      </c>
      <c r="F154" s="4" t="s">
        <v>257</v>
      </c>
      <c r="G154" s="1">
        <v>1</v>
      </c>
      <c r="H154" s="1">
        <v>1</v>
      </c>
      <c r="I154" s="1"/>
      <c r="J154" s="1">
        <f>Table22[[#This Row],[Qty]]-Table22[[#This Row],[Qty arrive]]</f>
        <v>0</v>
      </c>
    </row>
    <row r="155" spans="1:10">
      <c r="A155" s="1" t="s">
        <v>258</v>
      </c>
      <c r="B155" s="21"/>
      <c r="C155" s="2">
        <v>46030</v>
      </c>
      <c r="D155" s="19" t="s">
        <v>62</v>
      </c>
      <c r="E155" s="1" t="s">
        <v>239</v>
      </c>
      <c r="F155" s="4" t="s">
        <v>259</v>
      </c>
      <c r="G155" s="1">
        <v>1</v>
      </c>
      <c r="H155" s="1">
        <v>1</v>
      </c>
      <c r="I155" s="1"/>
      <c r="J155" s="1">
        <f>Table22[[#This Row],[Qty]]-Table22[[#This Row],[Qty arrive]]</f>
        <v>0</v>
      </c>
    </row>
    <row r="156" spans="1:10">
      <c r="A156" s="1" t="s">
        <v>260</v>
      </c>
      <c r="B156" s="21"/>
      <c r="C156" s="2">
        <v>46030</v>
      </c>
      <c r="D156" s="19" t="s">
        <v>27</v>
      </c>
      <c r="E156" s="1" t="s">
        <v>46</v>
      </c>
      <c r="F156" s="4" t="s">
        <v>261</v>
      </c>
      <c r="G156" s="1">
        <v>1</v>
      </c>
      <c r="H156" s="1"/>
      <c r="I156" s="1"/>
      <c r="J156" s="1">
        <f>Table22[[#This Row],[Qty]]-Table22[[#This Row],[Qty arrive]]</f>
        <v>1</v>
      </c>
    </row>
    <row r="157" spans="1:10">
      <c r="A157" s="1" t="s">
        <v>262</v>
      </c>
      <c r="B157" s="21"/>
      <c r="C157" s="2">
        <v>46030</v>
      </c>
      <c r="D157" s="19" t="s">
        <v>38</v>
      </c>
      <c r="E157" s="1" t="s">
        <v>207</v>
      </c>
      <c r="F157" s="4" t="s">
        <v>263</v>
      </c>
      <c r="G157" s="1">
        <v>476</v>
      </c>
      <c r="H157" s="1">
        <v>462</v>
      </c>
      <c r="I157" s="1"/>
      <c r="J157" s="1">
        <f>Table22[[#This Row],[Qty]]-Table22[[#This Row],[Qty arrive]]</f>
        <v>14</v>
      </c>
    </row>
    <row r="158" spans="1:10">
      <c r="A158" s="1" t="s">
        <v>264</v>
      </c>
      <c r="B158" s="21"/>
      <c r="C158" s="2">
        <v>46032</v>
      </c>
      <c r="D158" s="19" t="s">
        <v>62</v>
      </c>
      <c r="E158" s="1" t="s">
        <v>239</v>
      </c>
      <c r="F158" s="4" t="s">
        <v>265</v>
      </c>
      <c r="G158" s="1">
        <v>1</v>
      </c>
      <c r="H158" s="1"/>
      <c r="I158" s="1"/>
      <c r="J158" s="1">
        <f>Table22[[#This Row],[Qty]]-Table22[[#This Row],[Qty arrive]]</f>
        <v>1</v>
      </c>
    </row>
    <row r="159" spans="1:10">
      <c r="A159" s="1" t="s">
        <v>266</v>
      </c>
      <c r="B159" s="21"/>
      <c r="C159" s="2">
        <v>46033</v>
      </c>
      <c r="D159" s="19" t="s">
        <v>231</v>
      </c>
      <c r="E159" s="1" t="s">
        <v>232</v>
      </c>
      <c r="F159" s="9" t="s">
        <v>267</v>
      </c>
      <c r="G159" s="1">
        <v>115</v>
      </c>
      <c r="H159" s="1"/>
      <c r="I159" s="1"/>
      <c r="J159" s="1">
        <f>Table22[[#This Row],[Qty]]-Table22[[#This Row],[Qty arrive]]</f>
        <v>115</v>
      </c>
    </row>
    <row r="160" spans="1:10">
      <c r="A160" s="1" t="s">
        <v>266</v>
      </c>
      <c r="B160" s="21"/>
      <c r="C160" s="2">
        <v>46033</v>
      </c>
      <c r="D160" s="19" t="s">
        <v>231</v>
      </c>
      <c r="E160" s="1" t="s">
        <v>232</v>
      </c>
      <c r="F160" s="9" t="s">
        <v>268</v>
      </c>
      <c r="G160" s="1">
        <v>34</v>
      </c>
      <c r="H160" s="1"/>
      <c r="I160" s="1"/>
      <c r="J160" s="1">
        <f>Table22[[#This Row],[Qty]]-Table22[[#This Row],[Qty arrive]]</f>
        <v>34</v>
      </c>
    </row>
    <row r="161" spans="1:10">
      <c r="A161" s="1" t="s">
        <v>266</v>
      </c>
      <c r="B161" s="21"/>
      <c r="C161" s="2">
        <v>46033</v>
      </c>
      <c r="D161" s="19" t="s">
        <v>231</v>
      </c>
      <c r="E161" s="1" t="s">
        <v>232</v>
      </c>
      <c r="F161" s="9" t="s">
        <v>269</v>
      </c>
      <c r="G161" s="1">
        <v>82</v>
      </c>
      <c r="H161" s="1"/>
      <c r="I161" s="1"/>
      <c r="J161" s="1">
        <f>Table22[[#This Row],[Qty]]-Table22[[#This Row],[Qty arrive]]</f>
        <v>82</v>
      </c>
    </row>
    <row r="162" spans="1:10">
      <c r="A162" s="1" t="s">
        <v>266</v>
      </c>
      <c r="B162" s="21"/>
      <c r="C162" s="2">
        <v>46033</v>
      </c>
      <c r="D162" s="19" t="s">
        <v>231</v>
      </c>
      <c r="E162" s="1" t="s">
        <v>232</v>
      </c>
      <c r="F162" s="9" t="s">
        <v>270</v>
      </c>
      <c r="G162" s="1">
        <v>48</v>
      </c>
      <c r="H162" s="1">
        <v>48</v>
      </c>
      <c r="I162" s="1"/>
      <c r="J162" s="1">
        <f>Table22[[#This Row],[Qty]]-Table22[[#This Row],[Qty arrive]]</f>
        <v>0</v>
      </c>
    </row>
    <row r="163" spans="1:10">
      <c r="A163" s="1" t="s">
        <v>266</v>
      </c>
      <c r="B163" s="21"/>
      <c r="C163" s="2">
        <v>46033</v>
      </c>
      <c r="D163" s="19" t="s">
        <v>231</v>
      </c>
      <c r="E163" s="1" t="s">
        <v>232</v>
      </c>
      <c r="F163" s="9" t="s">
        <v>271</v>
      </c>
      <c r="G163" s="1">
        <v>60</v>
      </c>
      <c r="H163" s="1">
        <v>60</v>
      </c>
      <c r="I163" s="1"/>
      <c r="J163" s="1">
        <f>Table22[[#This Row],[Qty]]-Table22[[#This Row],[Qty arrive]]</f>
        <v>0</v>
      </c>
    </row>
    <row r="164" spans="1:10">
      <c r="A164" s="1" t="s">
        <v>266</v>
      </c>
      <c r="B164" s="21"/>
      <c r="C164" s="2">
        <v>46033</v>
      </c>
      <c r="D164" s="19" t="s">
        <v>231</v>
      </c>
      <c r="E164" s="1" t="s">
        <v>232</v>
      </c>
      <c r="F164" s="9" t="s">
        <v>272</v>
      </c>
      <c r="G164" s="1">
        <v>48</v>
      </c>
      <c r="H164" s="1">
        <v>48</v>
      </c>
      <c r="I164" s="1"/>
      <c r="J164" s="1">
        <f>Table22[[#This Row],[Qty]]-Table22[[#This Row],[Qty arrive]]</f>
        <v>0</v>
      </c>
    </row>
    <row r="165" spans="1:10">
      <c r="A165" s="1" t="s">
        <v>266</v>
      </c>
      <c r="B165" s="21"/>
      <c r="C165" s="2">
        <v>46033</v>
      </c>
      <c r="D165" s="19" t="s">
        <v>231</v>
      </c>
      <c r="E165" s="1" t="s">
        <v>232</v>
      </c>
      <c r="F165" s="9" t="s">
        <v>273</v>
      </c>
      <c r="G165" s="1">
        <v>2</v>
      </c>
      <c r="H165" s="1">
        <v>2</v>
      </c>
      <c r="I165" s="1"/>
      <c r="J165" s="1">
        <f>Table22[[#This Row],[Qty]]-Table22[[#This Row],[Qty arrive]]</f>
        <v>0</v>
      </c>
    </row>
    <row r="166" spans="1:10">
      <c r="A166" s="1" t="s">
        <v>274</v>
      </c>
      <c r="B166" s="21"/>
      <c r="C166" s="2">
        <v>46034</v>
      </c>
      <c r="D166" s="19" t="s">
        <v>183</v>
      </c>
      <c r="E166" s="1" t="s">
        <v>184</v>
      </c>
      <c r="F166" s="4" t="s">
        <v>275</v>
      </c>
      <c r="G166" s="1">
        <v>3</v>
      </c>
      <c r="H166" s="1"/>
      <c r="I166" s="1"/>
      <c r="J166" s="1">
        <f>Table22[[#This Row],[Qty]]-Table22[[#This Row],[Qty arrive]]</f>
        <v>3</v>
      </c>
    </row>
    <row r="167" spans="1:10">
      <c r="A167" s="1" t="s">
        <v>274</v>
      </c>
      <c r="B167" s="21"/>
      <c r="C167" s="2">
        <v>46034</v>
      </c>
      <c r="D167" s="19" t="s">
        <v>183</v>
      </c>
      <c r="E167" s="1" t="s">
        <v>184</v>
      </c>
      <c r="F167" s="4" t="s">
        <v>87</v>
      </c>
      <c r="G167" s="1">
        <v>1</v>
      </c>
      <c r="H167" s="1"/>
      <c r="I167" s="1"/>
      <c r="J167" s="1">
        <f>Table22[[#This Row],[Qty]]-Table22[[#This Row],[Qty arrive]]</f>
        <v>1</v>
      </c>
    </row>
    <row r="168" spans="1:10">
      <c r="A168" s="1" t="s">
        <v>274</v>
      </c>
      <c r="B168" s="21"/>
      <c r="C168" s="2">
        <v>46034</v>
      </c>
      <c r="D168" s="19" t="s">
        <v>276</v>
      </c>
      <c r="E168" s="1" t="s">
        <v>184</v>
      </c>
      <c r="F168" s="4" t="s">
        <v>255</v>
      </c>
      <c r="G168" s="1">
        <v>1</v>
      </c>
      <c r="H168" s="1"/>
      <c r="I168" s="1"/>
      <c r="J168" s="1">
        <f>Table22[[#This Row],[Qty]]-Table22[[#This Row],[Qty arrive]]</f>
        <v>1</v>
      </c>
    </row>
    <row r="169" spans="1:10">
      <c r="A169" s="1" t="s">
        <v>277</v>
      </c>
      <c r="B169" s="21"/>
      <c r="C169" s="2">
        <v>46041</v>
      </c>
      <c r="D169" s="19" t="s">
        <v>62</v>
      </c>
      <c r="E169" s="1" t="s">
        <v>122</v>
      </c>
      <c r="F169" s="4" t="s">
        <v>139</v>
      </c>
      <c r="G169" s="1">
        <v>2</v>
      </c>
      <c r="H169" s="1">
        <v>2</v>
      </c>
      <c r="I169" s="1"/>
      <c r="J169" s="1">
        <f>Table22[[#This Row],[Qty]]-Table22[[#This Row],[Qty arrive]]</f>
        <v>0</v>
      </c>
    </row>
    <row r="170" spans="1:10">
      <c r="A170" s="1" t="s">
        <v>278</v>
      </c>
      <c r="B170" s="21"/>
      <c r="C170" s="2">
        <v>46042</v>
      </c>
      <c r="D170" s="19" t="s">
        <v>167</v>
      </c>
      <c r="E170" s="1" t="s">
        <v>168</v>
      </c>
      <c r="F170" s="4" t="s">
        <v>93</v>
      </c>
      <c r="G170" s="1">
        <v>20</v>
      </c>
      <c r="H170" s="1">
        <v>20</v>
      </c>
      <c r="I170" s="1"/>
      <c r="J170" s="1">
        <f>Table22[[#This Row],[Qty]]-Table22[[#This Row],[Qty arrive]]</f>
        <v>0</v>
      </c>
    </row>
    <row r="171" spans="1:10">
      <c r="A171" s="1" t="s">
        <v>279</v>
      </c>
      <c r="B171" s="21"/>
      <c r="C171" s="2">
        <v>46043</v>
      </c>
      <c r="D171" s="19" t="s">
        <v>13</v>
      </c>
      <c r="E171" s="1" t="s">
        <v>280</v>
      </c>
      <c r="F171" s="4" t="s">
        <v>281</v>
      </c>
      <c r="G171" s="1">
        <v>1</v>
      </c>
      <c r="H171" s="1"/>
      <c r="I171" s="1"/>
      <c r="J171" s="1">
        <f>Table22[[#This Row],[Qty]]-Table22[[#This Row],[Qty arrive]]</f>
        <v>1</v>
      </c>
    </row>
    <row r="172" spans="1:10">
      <c r="A172" s="1" t="s">
        <v>282</v>
      </c>
      <c r="B172" s="21"/>
      <c r="C172" s="2">
        <v>46041</v>
      </c>
      <c r="D172" s="19" t="s">
        <v>62</v>
      </c>
      <c r="E172" s="1" t="s">
        <v>122</v>
      </c>
      <c r="F172" s="4" t="s">
        <v>139</v>
      </c>
      <c r="G172" s="1">
        <v>4</v>
      </c>
      <c r="H172" s="1">
        <v>4</v>
      </c>
      <c r="I172" s="1"/>
      <c r="J172" s="1">
        <f>Table22[[#This Row],[Qty]]-Table22[[#This Row],[Qty arrive]]</f>
        <v>0</v>
      </c>
    </row>
    <row r="173" spans="1:10">
      <c r="A173" s="16" t="s">
        <v>283</v>
      </c>
      <c r="B173" s="21"/>
      <c r="C173" s="2">
        <v>46045</v>
      </c>
      <c r="D173" s="19" t="s">
        <v>284</v>
      </c>
      <c r="E173" s="1" t="s">
        <v>46</v>
      </c>
      <c r="F173" s="4" t="s">
        <v>285</v>
      </c>
      <c r="G173" s="1">
        <v>2</v>
      </c>
      <c r="H173" s="4"/>
      <c r="I173" s="1"/>
      <c r="J173" s="1">
        <f>Table22[[#This Row],[Qty]]-Table22[[#This Row],[Qty arrive]]</f>
        <v>2</v>
      </c>
    </row>
    <row r="174" spans="1:10">
      <c r="A174" s="16" t="s">
        <v>286</v>
      </c>
      <c r="B174" s="21"/>
      <c r="C174" s="2">
        <v>46045</v>
      </c>
      <c r="D174" s="19" t="s">
        <v>284</v>
      </c>
      <c r="E174" s="1" t="s">
        <v>46</v>
      </c>
      <c r="F174" s="11" t="s">
        <v>287</v>
      </c>
      <c r="G174" s="1">
        <v>1</v>
      </c>
      <c r="H174" s="1"/>
      <c r="I174" s="1"/>
      <c r="J174" s="1">
        <f>Table22[[#This Row],[Qty]]-Table22[[#This Row],[Qty arrive]]</f>
        <v>1</v>
      </c>
    </row>
    <row r="175" spans="1:10">
      <c r="A175" s="16" t="s">
        <v>286</v>
      </c>
      <c r="B175" s="21"/>
      <c r="C175" s="2">
        <v>46045</v>
      </c>
      <c r="D175" s="19" t="s">
        <v>284</v>
      </c>
      <c r="E175" s="1" t="s">
        <v>46</v>
      </c>
      <c r="F175" s="11" t="s">
        <v>288</v>
      </c>
      <c r="G175" s="1">
        <v>1</v>
      </c>
      <c r="H175" s="1"/>
      <c r="I175" s="1"/>
      <c r="J175" s="1">
        <f>Table22[[#This Row],[Qty]]-Table22[[#This Row],[Qty arrive]]</f>
        <v>1</v>
      </c>
    </row>
    <row r="176" spans="1:10">
      <c r="A176" s="16" t="s">
        <v>286</v>
      </c>
      <c r="B176" s="21"/>
      <c r="C176" s="2">
        <v>46045</v>
      </c>
      <c r="D176" s="19" t="s">
        <v>284</v>
      </c>
      <c r="E176" s="1" t="s">
        <v>46</v>
      </c>
      <c r="F176" s="11" t="s">
        <v>289</v>
      </c>
      <c r="G176" s="1">
        <v>1</v>
      </c>
      <c r="H176" s="1"/>
      <c r="I176" s="1"/>
      <c r="J176" s="1">
        <f>Table22[[#This Row],[Qty]]-Table22[[#This Row],[Qty arrive]]</f>
        <v>1</v>
      </c>
    </row>
    <row r="177" spans="1:10">
      <c r="A177" s="16" t="s">
        <v>286</v>
      </c>
      <c r="B177" s="21"/>
      <c r="C177" s="2">
        <v>46045</v>
      </c>
      <c r="D177" s="19" t="s">
        <v>284</v>
      </c>
      <c r="E177" s="1" t="s">
        <v>46</v>
      </c>
      <c r="F177" s="11" t="s">
        <v>290</v>
      </c>
      <c r="G177" s="1">
        <v>1</v>
      </c>
      <c r="H177" s="1"/>
      <c r="I177" s="1"/>
      <c r="J177" s="1">
        <f>Table22[[#This Row],[Qty]]-Table22[[#This Row],[Qty arrive]]</f>
        <v>1</v>
      </c>
    </row>
    <row r="178" spans="1:10">
      <c r="A178" s="1" t="s">
        <v>291</v>
      </c>
      <c r="B178" s="21"/>
      <c r="C178" s="2">
        <v>46047</v>
      </c>
      <c r="D178" s="19" t="s">
        <v>231</v>
      </c>
      <c r="E178" s="4" t="s">
        <v>232</v>
      </c>
      <c r="F178" s="4" t="s">
        <v>233</v>
      </c>
      <c r="G178" s="1">
        <v>5</v>
      </c>
      <c r="H178" s="1">
        <v>5</v>
      </c>
      <c r="I178" s="1"/>
      <c r="J178" s="1">
        <f>Table22[[#This Row],[Qty]]-Table22[[#This Row],[Qty arrive]]</f>
        <v>0</v>
      </c>
    </row>
    <row r="179" spans="1:10">
      <c r="A179" s="16" t="s">
        <v>292</v>
      </c>
      <c r="B179" s="21"/>
      <c r="C179" s="2">
        <v>46049</v>
      </c>
      <c r="D179" s="19" t="s">
        <v>284</v>
      </c>
      <c r="E179" s="1" t="s">
        <v>46</v>
      </c>
      <c r="F179" s="4" t="s">
        <v>293</v>
      </c>
      <c r="G179" s="1">
        <v>1</v>
      </c>
      <c r="H179" s="1"/>
      <c r="I179" s="1"/>
      <c r="J179" s="1">
        <f>Table22[[#This Row],[Qty]]-Table22[[#This Row],[Qty arrive]]</f>
        <v>1</v>
      </c>
    </row>
    <row r="180" spans="1:10">
      <c r="A180" s="1" t="s">
        <v>294</v>
      </c>
      <c r="B180" s="21"/>
      <c r="C180" s="2">
        <v>46050</v>
      </c>
      <c r="D180" s="19" t="s">
        <v>231</v>
      </c>
      <c r="E180" s="4" t="s">
        <v>232</v>
      </c>
      <c r="F180" s="4" t="s">
        <v>295</v>
      </c>
      <c r="G180" s="1">
        <v>2</v>
      </c>
      <c r="H180" s="1"/>
      <c r="I180" s="1"/>
      <c r="J180" s="1">
        <f>Table22[[#This Row],[Qty]]-Table22[[#This Row],[Qty arrive]]</f>
        <v>2</v>
      </c>
    </row>
    <row r="181" spans="1:10">
      <c r="A181" s="1" t="s">
        <v>296</v>
      </c>
      <c r="B181" s="21"/>
      <c r="C181" s="2">
        <v>46050</v>
      </c>
      <c r="D181" s="19" t="s">
        <v>13</v>
      </c>
      <c r="E181" s="1" t="s">
        <v>280</v>
      </c>
      <c r="F181" s="4" t="s">
        <v>297</v>
      </c>
      <c r="G181" s="1">
        <v>1</v>
      </c>
      <c r="H181" s="1"/>
      <c r="I181" s="1"/>
      <c r="J181" s="1">
        <f>Table22[[#This Row],[Qty]]-Table22[[#This Row],[Qty arrive]]</f>
        <v>1</v>
      </c>
    </row>
    <row r="182" spans="1:10">
      <c r="A182" s="1" t="s">
        <v>298</v>
      </c>
      <c r="B182" s="21"/>
      <c r="C182" s="2">
        <v>46051</v>
      </c>
      <c r="D182" s="19" t="s">
        <v>299</v>
      </c>
      <c r="E182" s="1" t="s">
        <v>300</v>
      </c>
      <c r="F182" s="4" t="s">
        <v>185</v>
      </c>
      <c r="G182" s="1">
        <v>8</v>
      </c>
      <c r="H182" s="1"/>
      <c r="I182" s="1"/>
      <c r="J182" s="1">
        <f>Table22[[#This Row],[Qty]]-Table22[[#This Row],[Qty arrive]]</f>
        <v>8</v>
      </c>
    </row>
    <row r="183" spans="1:10">
      <c r="A183" s="1" t="s">
        <v>298</v>
      </c>
      <c r="B183" s="21"/>
      <c r="C183" s="2">
        <v>46051</v>
      </c>
      <c r="D183" s="19" t="s">
        <v>299</v>
      </c>
      <c r="E183" s="1" t="s">
        <v>300</v>
      </c>
      <c r="F183" s="4" t="s">
        <v>301</v>
      </c>
      <c r="G183" s="1">
        <v>1</v>
      </c>
      <c r="H183" s="1"/>
      <c r="I183" s="1"/>
      <c r="J183" s="1">
        <f>Table22[[#This Row],[Qty]]-Table22[[#This Row],[Qty arrive]]</f>
        <v>1</v>
      </c>
    </row>
    <row r="184" spans="1:10">
      <c r="A184" s="1" t="s">
        <v>298</v>
      </c>
      <c r="B184" s="21"/>
      <c r="C184" s="2">
        <v>46051</v>
      </c>
      <c r="D184" s="19" t="s">
        <v>299</v>
      </c>
      <c r="E184" s="1" t="s">
        <v>300</v>
      </c>
      <c r="F184" s="4" t="s">
        <v>302</v>
      </c>
      <c r="G184" s="1">
        <v>1</v>
      </c>
      <c r="H184" s="1">
        <v>1</v>
      </c>
      <c r="I184" s="1"/>
      <c r="J184" s="1">
        <f>Table22[[#This Row],[Qty]]-Table22[[#This Row],[Qty arrive]]</f>
        <v>0</v>
      </c>
    </row>
    <row r="185" spans="1:10">
      <c r="A185" s="1" t="s">
        <v>298</v>
      </c>
      <c r="B185" s="21"/>
      <c r="C185" s="2">
        <v>46051</v>
      </c>
      <c r="D185" s="19" t="s">
        <v>299</v>
      </c>
      <c r="E185" s="1" t="s">
        <v>300</v>
      </c>
      <c r="F185" s="4" t="s">
        <v>303</v>
      </c>
      <c r="G185" s="1">
        <v>2</v>
      </c>
      <c r="H185" s="1">
        <v>2</v>
      </c>
      <c r="I185" s="1"/>
      <c r="J185" s="1">
        <f>Table22[[#This Row],[Qty]]-Table22[[#This Row],[Qty arrive]]</f>
        <v>0</v>
      </c>
    </row>
    <row r="186" spans="1:10">
      <c r="A186" s="1" t="s">
        <v>298</v>
      </c>
      <c r="B186" s="21"/>
      <c r="C186" s="2">
        <v>46051</v>
      </c>
      <c r="D186" s="19" t="s">
        <v>299</v>
      </c>
      <c r="E186" s="1" t="s">
        <v>300</v>
      </c>
      <c r="F186" s="4" t="s">
        <v>304</v>
      </c>
      <c r="G186" s="1">
        <v>43</v>
      </c>
      <c r="H186" s="1"/>
      <c r="I186" s="1"/>
      <c r="J186" s="1">
        <f>Table22[[#This Row],[Qty]]-Table22[[#This Row],[Qty arrive]]</f>
        <v>43</v>
      </c>
    </row>
    <row r="187" spans="1:10">
      <c r="A187" s="1" t="s">
        <v>298</v>
      </c>
      <c r="B187" s="21"/>
      <c r="C187" s="2">
        <v>46051</v>
      </c>
      <c r="D187" s="19" t="s">
        <v>299</v>
      </c>
      <c r="E187" s="1" t="s">
        <v>300</v>
      </c>
      <c r="F187" s="4" t="s">
        <v>305</v>
      </c>
      <c r="G187" s="1">
        <v>51</v>
      </c>
      <c r="H187" s="1"/>
      <c r="I187" s="1"/>
      <c r="J187" s="1">
        <f>Table22[[#This Row],[Qty]]-Table22[[#This Row],[Qty arrive]]</f>
        <v>51</v>
      </c>
    </row>
    <row r="188" spans="1:10">
      <c r="A188" s="1" t="s">
        <v>298</v>
      </c>
      <c r="B188" s="21"/>
      <c r="C188" s="2">
        <v>46051</v>
      </c>
      <c r="D188" s="19" t="s">
        <v>299</v>
      </c>
      <c r="E188" s="1" t="s">
        <v>300</v>
      </c>
      <c r="F188" s="4" t="s">
        <v>306</v>
      </c>
      <c r="G188" s="1">
        <v>550</v>
      </c>
      <c r="H188" s="1"/>
      <c r="I188" s="1"/>
      <c r="J188" s="1">
        <f>Table22[[#This Row],[Qty]]-Table22[[#This Row],[Qty arrive]]</f>
        <v>550</v>
      </c>
    </row>
    <row r="189" spans="1:10">
      <c r="A189" s="1" t="s">
        <v>298</v>
      </c>
      <c r="B189" s="21"/>
      <c r="C189" s="2">
        <v>46051</v>
      </c>
      <c r="D189" s="19" t="s">
        <v>299</v>
      </c>
      <c r="E189" s="1" t="s">
        <v>300</v>
      </c>
      <c r="F189" s="4" t="s">
        <v>307</v>
      </c>
      <c r="G189" s="1">
        <v>550</v>
      </c>
      <c r="H189" s="1"/>
      <c r="I189" s="1"/>
      <c r="J189" s="1">
        <f>Table22[[#This Row],[Qty]]-Table22[[#This Row],[Qty arrive]]</f>
        <v>550</v>
      </c>
    </row>
    <row r="190" spans="1:10">
      <c r="A190" s="1" t="s">
        <v>308</v>
      </c>
      <c r="B190" s="21"/>
      <c r="C190" s="2">
        <v>46051</v>
      </c>
      <c r="D190" s="19" t="s">
        <v>13</v>
      </c>
      <c r="E190" s="1" t="s">
        <v>309</v>
      </c>
      <c r="F190" s="4" t="s">
        <v>310</v>
      </c>
      <c r="G190" s="1">
        <v>5</v>
      </c>
      <c r="H190" s="1"/>
      <c r="I190" s="1"/>
      <c r="J190" s="1">
        <f>Table22[[#This Row],[Qty]]-Table22[[#This Row],[Qty arrive]]</f>
        <v>5</v>
      </c>
    </row>
    <row r="191" spans="1:10">
      <c r="A191" s="1" t="s">
        <v>308</v>
      </c>
      <c r="B191" s="21"/>
      <c r="C191" s="2">
        <v>46051</v>
      </c>
      <c r="D191" s="19" t="s">
        <v>13</v>
      </c>
      <c r="E191" s="1" t="s">
        <v>309</v>
      </c>
      <c r="F191" s="4" t="s">
        <v>311</v>
      </c>
      <c r="G191" s="1">
        <v>5</v>
      </c>
      <c r="H191" s="1"/>
      <c r="I191" s="1"/>
      <c r="J191" s="1">
        <f>Table22[[#This Row],[Qty]]-Table22[[#This Row],[Qty arrive]]</f>
        <v>5</v>
      </c>
    </row>
    <row r="192" spans="1:10">
      <c r="A192" s="1" t="s">
        <v>308</v>
      </c>
      <c r="B192" s="21"/>
      <c r="C192" s="2">
        <v>46051</v>
      </c>
      <c r="D192" s="19" t="s">
        <v>13</v>
      </c>
      <c r="E192" s="1" t="s">
        <v>309</v>
      </c>
      <c r="F192" s="4" t="s">
        <v>312</v>
      </c>
      <c r="G192" s="1">
        <v>1</v>
      </c>
      <c r="H192" s="1"/>
      <c r="I192" s="1"/>
      <c r="J192" s="1">
        <f>Table22[[#This Row],[Qty]]-Table22[[#This Row],[Qty arrive]]</f>
        <v>1</v>
      </c>
    </row>
    <row r="193" spans="1:10">
      <c r="A193" s="1" t="s">
        <v>313</v>
      </c>
      <c r="B193" s="21"/>
      <c r="C193" s="2">
        <v>46055</v>
      </c>
      <c r="D193" s="19" t="s">
        <v>276</v>
      </c>
      <c r="E193" s="1" t="s">
        <v>184</v>
      </c>
      <c r="F193" s="4" t="s">
        <v>301</v>
      </c>
      <c r="G193" s="1">
        <v>6</v>
      </c>
      <c r="H193" s="1">
        <v>2</v>
      </c>
      <c r="I193" s="1"/>
      <c r="J193" s="1">
        <f>Table22[[#This Row],[Qty]]-Table22[[#This Row],[Qty arrive]]</f>
        <v>4</v>
      </c>
    </row>
    <row r="194" spans="1:10">
      <c r="A194" s="1" t="s">
        <v>313</v>
      </c>
      <c r="B194" s="21"/>
      <c r="C194" s="2">
        <v>46055</v>
      </c>
      <c r="D194" s="19" t="s">
        <v>276</v>
      </c>
      <c r="E194" s="1" t="s">
        <v>184</v>
      </c>
      <c r="F194" s="4" t="s">
        <v>302</v>
      </c>
      <c r="G194" s="1">
        <v>1</v>
      </c>
      <c r="H194" s="1"/>
      <c r="I194" s="1"/>
      <c r="J194" s="1">
        <f>Table22[[#This Row],[Qty]]-Table22[[#This Row],[Qty arrive]]</f>
        <v>1</v>
      </c>
    </row>
    <row r="195" spans="1:10">
      <c r="A195" s="1" t="s">
        <v>313</v>
      </c>
      <c r="B195" s="21"/>
      <c r="C195" s="2">
        <v>46055</v>
      </c>
      <c r="D195" s="19" t="s">
        <v>276</v>
      </c>
      <c r="E195" s="1" t="s">
        <v>184</v>
      </c>
      <c r="F195" s="4" t="s">
        <v>275</v>
      </c>
      <c r="G195" s="1">
        <v>11</v>
      </c>
      <c r="H195" s="1">
        <v>11</v>
      </c>
      <c r="I195" s="1"/>
      <c r="J195" s="1">
        <f>Table22[[#This Row],[Qty]]-Table22[[#This Row],[Qty arrive]]</f>
        <v>0</v>
      </c>
    </row>
    <row r="196" spans="1:10">
      <c r="A196" s="1" t="s">
        <v>313</v>
      </c>
      <c r="B196" s="21"/>
      <c r="C196" s="2">
        <v>46055</v>
      </c>
      <c r="D196" s="19" t="s">
        <v>276</v>
      </c>
      <c r="E196" s="1" t="s">
        <v>184</v>
      </c>
      <c r="F196" s="4" t="s">
        <v>314</v>
      </c>
      <c r="G196" s="1">
        <v>72</v>
      </c>
      <c r="H196" s="1"/>
      <c r="I196" s="1"/>
      <c r="J196" s="1">
        <f>Table22[[#This Row],[Qty]]-Table22[[#This Row],[Qty arrive]]</f>
        <v>72</v>
      </c>
    </row>
    <row r="197" spans="1:10">
      <c r="A197" s="1" t="s">
        <v>313</v>
      </c>
      <c r="B197" s="21"/>
      <c r="C197" s="2">
        <v>46055</v>
      </c>
      <c r="D197" s="19" t="s">
        <v>276</v>
      </c>
      <c r="E197" s="1" t="s">
        <v>184</v>
      </c>
      <c r="F197" s="4" t="s">
        <v>315</v>
      </c>
      <c r="G197" s="1">
        <v>79</v>
      </c>
      <c r="H197" s="1"/>
      <c r="I197" s="1"/>
      <c r="J197" s="1">
        <f>Table22[[#This Row],[Qty]]-Table22[[#This Row],[Qty arrive]]</f>
        <v>79</v>
      </c>
    </row>
    <row r="198" spans="1:10">
      <c r="A198" s="1" t="s">
        <v>313</v>
      </c>
      <c r="B198" s="21"/>
      <c r="C198" s="2">
        <v>46055</v>
      </c>
      <c r="D198" s="19" t="s">
        <v>276</v>
      </c>
      <c r="E198" s="1" t="s">
        <v>184</v>
      </c>
      <c r="F198" s="4" t="s">
        <v>316</v>
      </c>
      <c r="G198" s="1">
        <v>950</v>
      </c>
      <c r="H198" s="1"/>
      <c r="I198" s="1"/>
      <c r="J198" s="1">
        <f>Table22[[#This Row],[Qty]]-Table22[[#This Row],[Qty arrive]]</f>
        <v>950</v>
      </c>
    </row>
    <row r="199" spans="1:10">
      <c r="A199" s="1" t="s">
        <v>313</v>
      </c>
      <c r="B199" s="21"/>
      <c r="C199" s="2">
        <v>46055</v>
      </c>
      <c r="D199" s="19" t="s">
        <v>276</v>
      </c>
      <c r="E199" s="1" t="s">
        <v>184</v>
      </c>
      <c r="F199" s="4" t="s">
        <v>307</v>
      </c>
      <c r="G199" s="1">
        <v>950</v>
      </c>
      <c r="H199" s="1"/>
      <c r="I199" s="1"/>
      <c r="J199" s="1">
        <f>Table22[[#This Row],[Qty]]-Table22[[#This Row],[Qty arrive]]</f>
        <v>950</v>
      </c>
    </row>
    <row r="200" spans="1:10">
      <c r="A200" s="13" t="s">
        <v>317</v>
      </c>
      <c r="B200" s="22"/>
      <c r="C200" s="14">
        <v>46055</v>
      </c>
      <c r="D200" s="20" t="s">
        <v>231</v>
      </c>
      <c r="E200" s="13" t="s">
        <v>318</v>
      </c>
      <c r="F200" s="15" t="s">
        <v>319</v>
      </c>
      <c r="G200" s="13">
        <v>2</v>
      </c>
      <c r="H200" s="13"/>
      <c r="I200" s="13"/>
      <c r="J200" s="13">
        <f>Table22[[#This Row],[Qty]]-Table22[[#This Row],[Qty arrive]]</f>
        <v>2</v>
      </c>
    </row>
    <row r="201" spans="1:10">
      <c r="A201" s="1" t="s">
        <v>320</v>
      </c>
      <c r="B201" s="21"/>
      <c r="C201" s="2">
        <v>46056</v>
      </c>
      <c r="D201" s="19" t="s">
        <v>57</v>
      </c>
      <c r="E201" s="1" t="s">
        <v>58</v>
      </c>
      <c r="F201" s="4" t="s">
        <v>321</v>
      </c>
      <c r="G201" s="1">
        <v>5</v>
      </c>
      <c r="H201" s="1"/>
      <c r="I201" s="1"/>
      <c r="J201" s="1">
        <f>Table22[[#This Row],[Qty]]-Table22[[#This Row],[Qty arrive]]</f>
        <v>5</v>
      </c>
    </row>
    <row r="202" spans="1:10">
      <c r="A202" s="1" t="s">
        <v>320</v>
      </c>
      <c r="B202" s="21"/>
      <c r="C202" s="2">
        <v>46056</v>
      </c>
      <c r="D202" s="19" t="s">
        <v>57</v>
      </c>
      <c r="E202" s="1" t="s">
        <v>58</v>
      </c>
      <c r="F202" s="4" t="s">
        <v>322</v>
      </c>
      <c r="G202" s="1">
        <v>250</v>
      </c>
      <c r="H202" s="1"/>
      <c r="I202" s="1"/>
      <c r="J202" s="1">
        <f>Table22[[#This Row],[Qty]]-Table22[[#This Row],[Qty arrive]]</f>
        <v>250</v>
      </c>
    </row>
    <row r="203" spans="1:10">
      <c r="A203" s="1" t="s">
        <v>320</v>
      </c>
      <c r="B203" s="21"/>
      <c r="C203" s="2">
        <v>46056</v>
      </c>
      <c r="D203" s="19" t="s">
        <v>57</v>
      </c>
      <c r="E203" s="1" t="s">
        <v>58</v>
      </c>
      <c r="F203" s="4" t="s">
        <v>323</v>
      </c>
      <c r="G203" s="1">
        <v>250</v>
      </c>
      <c r="H203" s="1"/>
      <c r="I203" s="1"/>
      <c r="J203" s="1">
        <f>Table22[[#This Row],[Qty]]-Table22[[#This Row],[Qty arrive]]</f>
        <v>250</v>
      </c>
    </row>
    <row r="204" spans="1:10">
      <c r="A204" s="1" t="s">
        <v>324</v>
      </c>
      <c r="B204" s="21"/>
      <c r="C204" s="2">
        <v>46056</v>
      </c>
      <c r="D204" s="19" t="s">
        <v>57</v>
      </c>
      <c r="E204" s="1" t="s">
        <v>309</v>
      </c>
      <c r="F204" s="4" t="s">
        <v>325</v>
      </c>
      <c r="G204" s="1">
        <v>600</v>
      </c>
      <c r="H204" s="1"/>
      <c r="I204" s="1"/>
      <c r="J204" s="1">
        <f>Table22[[#This Row],[Qty]]-Table22[[#This Row],[Qty arrive]]</f>
        <v>600</v>
      </c>
    </row>
    <row r="205" spans="1:10">
      <c r="A205" s="1" t="s">
        <v>324</v>
      </c>
      <c r="B205" s="21"/>
      <c r="C205" s="2">
        <v>46056</v>
      </c>
      <c r="D205" s="19" t="s">
        <v>57</v>
      </c>
      <c r="E205" s="1" t="s">
        <v>309</v>
      </c>
      <c r="F205" s="4" t="s">
        <v>326</v>
      </c>
      <c r="G205" s="1">
        <v>1200</v>
      </c>
      <c r="H205" s="1"/>
      <c r="I205" s="1"/>
      <c r="J205" s="1">
        <f>Table22[[#This Row],[Qty]]-Table22[[#This Row],[Qty arrive]]</f>
        <v>1200</v>
      </c>
    </row>
    <row r="206" spans="1:10">
      <c r="A206" s="1" t="s">
        <v>324</v>
      </c>
      <c r="B206" s="21"/>
      <c r="C206" s="2">
        <v>46056</v>
      </c>
      <c r="D206" s="19" t="s">
        <v>57</v>
      </c>
      <c r="E206" s="1" t="s">
        <v>309</v>
      </c>
      <c r="F206" s="4" t="s">
        <v>327</v>
      </c>
      <c r="G206" s="1">
        <v>600</v>
      </c>
      <c r="H206" s="1"/>
      <c r="I206" s="1"/>
      <c r="J206" s="1">
        <f>Table22[[#This Row],[Qty]]-Table22[[#This Row],[Qty arrive]]</f>
        <v>600</v>
      </c>
    </row>
    <row r="207" spans="1:10">
      <c r="A207" s="1" t="s">
        <v>324</v>
      </c>
      <c r="B207" s="21"/>
      <c r="C207" s="2">
        <v>46056</v>
      </c>
      <c r="D207" s="19" t="s">
        <v>57</v>
      </c>
      <c r="E207" s="1" t="s">
        <v>309</v>
      </c>
      <c r="F207" s="4" t="s">
        <v>328</v>
      </c>
      <c r="G207" s="1">
        <v>400</v>
      </c>
      <c r="H207" s="1"/>
      <c r="I207" s="1"/>
      <c r="J207" s="1">
        <f>Table22[[#This Row],[Qty]]-Table22[[#This Row],[Qty arrive]]</f>
        <v>400</v>
      </c>
    </row>
    <row r="208" spans="1:10">
      <c r="A208" s="1" t="s">
        <v>329</v>
      </c>
      <c r="B208" s="21" t="s">
        <v>330</v>
      </c>
      <c r="C208" s="2">
        <v>46057</v>
      </c>
      <c r="D208" s="19" t="s">
        <v>231</v>
      </c>
      <c r="E208" s="1" t="s">
        <v>232</v>
      </c>
      <c r="F208" s="4" t="s">
        <v>331</v>
      </c>
      <c r="G208" s="1">
        <v>3</v>
      </c>
      <c r="H208" s="1">
        <v>3</v>
      </c>
      <c r="I208" s="1"/>
      <c r="J208" s="1">
        <f>Table22[[#This Row],[Qty]]-Table22[[#This Row],[Qty arrive]]</f>
        <v>0</v>
      </c>
    </row>
    <row r="209" spans="1:10">
      <c r="A209" s="1" t="s">
        <v>329</v>
      </c>
      <c r="B209" s="21" t="s">
        <v>332</v>
      </c>
      <c r="C209" s="2">
        <v>46057</v>
      </c>
      <c r="D209" s="19" t="s">
        <v>231</v>
      </c>
      <c r="E209" s="1" t="s">
        <v>232</v>
      </c>
      <c r="F209" s="4" t="s">
        <v>333</v>
      </c>
      <c r="G209" s="1">
        <v>1</v>
      </c>
      <c r="H209" s="1">
        <v>1</v>
      </c>
      <c r="I209" s="1"/>
      <c r="J209" s="1">
        <f>Table22[[#This Row],[Qty]]-Table22[[#This Row],[Qty arrive]]</f>
        <v>0</v>
      </c>
    </row>
    <row r="210" spans="1:10">
      <c r="A210" s="1" t="s">
        <v>329</v>
      </c>
      <c r="B210" s="21" t="s">
        <v>332</v>
      </c>
      <c r="C210" s="2">
        <v>46057</v>
      </c>
      <c r="D210" s="19" t="s">
        <v>231</v>
      </c>
      <c r="E210" s="1" t="s">
        <v>232</v>
      </c>
      <c r="F210" s="4" t="s">
        <v>334</v>
      </c>
      <c r="G210" s="1">
        <v>1</v>
      </c>
      <c r="H210" s="1">
        <v>1</v>
      </c>
      <c r="I210" s="1"/>
      <c r="J210" s="1">
        <f>Table22[[#This Row],[Qty]]-Table22[[#This Row],[Qty arrive]]</f>
        <v>0</v>
      </c>
    </row>
    <row r="211" spans="1:10">
      <c r="A211" s="1" t="s">
        <v>335</v>
      </c>
      <c r="B211" s="21"/>
      <c r="C211" s="2">
        <v>46057</v>
      </c>
      <c r="D211" s="19" t="s">
        <v>72</v>
      </c>
      <c r="E211" s="1" t="s">
        <v>179</v>
      </c>
      <c r="F211" s="4" t="s">
        <v>336</v>
      </c>
      <c r="G211" s="1">
        <v>307</v>
      </c>
      <c r="H211" s="1"/>
      <c r="I211" s="1"/>
      <c r="J211" s="1">
        <f>Table22[[#This Row],[Qty]]-Table22[[#This Row],[Qty arrive]]</f>
        <v>307</v>
      </c>
    </row>
    <row r="212" spans="1:10">
      <c r="A212" s="1" t="s">
        <v>335</v>
      </c>
      <c r="B212" s="21"/>
      <c r="C212" s="2">
        <v>46057</v>
      </c>
      <c r="D212" s="19" t="s">
        <v>72</v>
      </c>
      <c r="E212" s="1" t="s">
        <v>179</v>
      </c>
      <c r="F212" s="4" t="s">
        <v>337</v>
      </c>
      <c r="G212" s="1">
        <v>36</v>
      </c>
      <c r="H212" s="1"/>
      <c r="I212" s="1"/>
      <c r="J212" s="1">
        <f>Table22[[#This Row],[Qty]]-Table22[[#This Row],[Qty arrive]]</f>
        <v>36</v>
      </c>
    </row>
    <row r="213" spans="1:10">
      <c r="A213" s="1" t="s">
        <v>338</v>
      </c>
      <c r="B213" s="24" t="s">
        <v>339</v>
      </c>
      <c r="C213" s="2">
        <v>46058</v>
      </c>
      <c r="D213" s="19" t="s">
        <v>32</v>
      </c>
      <c r="E213" s="1" t="s">
        <v>33</v>
      </c>
      <c r="F213" s="4" t="s">
        <v>275</v>
      </c>
      <c r="G213" s="1">
        <v>1</v>
      </c>
      <c r="H213" s="1">
        <v>1</v>
      </c>
      <c r="I213" s="1"/>
      <c r="J213" s="1">
        <f>Table22[[#This Row],[Qty]]-Table22[[#This Row],[Qty arrive]]</f>
        <v>0</v>
      </c>
    </row>
    <row r="214" spans="1:10">
      <c r="A214" s="1" t="s">
        <v>338</v>
      </c>
      <c r="B214" s="24" t="s">
        <v>339</v>
      </c>
      <c r="C214" s="2">
        <v>46058</v>
      </c>
      <c r="D214" s="19" t="s">
        <v>32</v>
      </c>
      <c r="E214" s="1" t="s">
        <v>33</v>
      </c>
      <c r="F214" s="4" t="s">
        <v>340</v>
      </c>
      <c r="G214" s="1">
        <v>1</v>
      </c>
      <c r="H214" s="1">
        <v>1</v>
      </c>
      <c r="I214" s="1"/>
      <c r="J214" s="1">
        <f>Table22[[#This Row],[Qty]]-Table22[[#This Row],[Qty arrive]]</f>
        <v>0</v>
      </c>
    </row>
    <row r="215" spans="1:10">
      <c r="A215" s="1" t="s">
        <v>338</v>
      </c>
      <c r="B215" s="24" t="s">
        <v>339</v>
      </c>
      <c r="C215" s="2">
        <v>46058</v>
      </c>
      <c r="D215" s="19" t="s">
        <v>32</v>
      </c>
      <c r="E215" s="1" t="s">
        <v>33</v>
      </c>
      <c r="F215" s="4" t="s">
        <v>302</v>
      </c>
      <c r="G215" s="1">
        <v>1</v>
      </c>
      <c r="H215" s="1">
        <v>1</v>
      </c>
      <c r="I215" s="1"/>
      <c r="J215" s="1">
        <f>Table22[[#This Row],[Qty]]-Table22[[#This Row],[Qty arrive]]</f>
        <v>0</v>
      </c>
    </row>
    <row r="216" spans="1:10">
      <c r="A216" s="1" t="s">
        <v>338</v>
      </c>
      <c r="B216" s="24" t="s">
        <v>339</v>
      </c>
      <c r="C216" s="2">
        <v>46058</v>
      </c>
      <c r="D216" s="19" t="s">
        <v>32</v>
      </c>
      <c r="E216" s="1" t="s">
        <v>33</v>
      </c>
      <c r="F216" s="4" t="s">
        <v>341</v>
      </c>
      <c r="G216" s="1">
        <v>1</v>
      </c>
      <c r="H216" s="1">
        <v>1</v>
      </c>
      <c r="I216" s="1"/>
      <c r="J216" s="1">
        <f>Table22[[#This Row],[Qty]]-Table22[[#This Row],[Qty arrive]]</f>
        <v>0</v>
      </c>
    </row>
    <row r="217" spans="1:10">
      <c r="A217" s="1" t="s">
        <v>338</v>
      </c>
      <c r="B217" s="24" t="s">
        <v>339</v>
      </c>
      <c r="C217" s="2">
        <v>46058</v>
      </c>
      <c r="D217" s="19" t="s">
        <v>32</v>
      </c>
      <c r="E217" s="1" t="s">
        <v>33</v>
      </c>
      <c r="F217" s="4" t="s">
        <v>303</v>
      </c>
      <c r="G217" s="1">
        <v>1</v>
      </c>
      <c r="H217" s="1">
        <v>1</v>
      </c>
      <c r="I217" s="1"/>
      <c r="J217" s="1">
        <f>Table22[[#This Row],[Qty]]-Table22[[#This Row],[Qty arrive]]</f>
        <v>0</v>
      </c>
    </row>
    <row r="218" spans="1:10">
      <c r="A218" s="1" t="s">
        <v>338</v>
      </c>
      <c r="B218" s="23" t="s">
        <v>342</v>
      </c>
      <c r="C218" s="2">
        <v>46058</v>
      </c>
      <c r="D218" s="19" t="s">
        <v>32</v>
      </c>
      <c r="E218" s="1" t="s">
        <v>33</v>
      </c>
      <c r="F218" s="4" t="s">
        <v>343</v>
      </c>
      <c r="G218" s="1">
        <v>1</v>
      </c>
      <c r="H218" s="1">
        <v>1</v>
      </c>
      <c r="I218" s="1"/>
      <c r="J218" s="1">
        <f>Table22[[#This Row],[Qty]]-Table22[[#This Row],[Qty arrive]]</f>
        <v>0</v>
      </c>
    </row>
    <row r="219" spans="1:10">
      <c r="A219" s="1" t="s">
        <v>338</v>
      </c>
      <c r="B219" s="23" t="s">
        <v>342</v>
      </c>
      <c r="C219" s="2">
        <v>46058</v>
      </c>
      <c r="D219" s="19" t="s">
        <v>32</v>
      </c>
      <c r="E219" s="1" t="s">
        <v>33</v>
      </c>
      <c r="F219" s="4" t="s">
        <v>344</v>
      </c>
      <c r="G219" s="1">
        <v>1</v>
      </c>
      <c r="H219" s="1">
        <v>1</v>
      </c>
      <c r="I219" s="1"/>
      <c r="J219" s="1">
        <f>Table22[[#This Row],[Qty]]-Table22[[#This Row],[Qty arrive]]</f>
        <v>0</v>
      </c>
    </row>
    <row r="220" spans="1:10">
      <c r="A220" s="1" t="s">
        <v>338</v>
      </c>
      <c r="B220" s="21"/>
      <c r="C220" s="2">
        <v>46058</v>
      </c>
      <c r="D220" s="19" t="s">
        <v>32</v>
      </c>
      <c r="E220" s="1" t="s">
        <v>33</v>
      </c>
      <c r="F220" s="4" t="s">
        <v>315</v>
      </c>
      <c r="G220" s="1">
        <v>6</v>
      </c>
      <c r="H220" s="1"/>
      <c r="I220" s="1"/>
      <c r="J220" s="1">
        <f>Table22[[#This Row],[Qty]]-Table22[[#This Row],[Qty arrive]]</f>
        <v>6</v>
      </c>
    </row>
    <row r="221" spans="1:10">
      <c r="A221" s="1" t="s">
        <v>338</v>
      </c>
      <c r="B221" s="21"/>
      <c r="C221" s="2">
        <v>46058</v>
      </c>
      <c r="D221" s="19" t="s">
        <v>32</v>
      </c>
      <c r="E221" s="1" t="s">
        <v>33</v>
      </c>
      <c r="F221" s="4" t="s">
        <v>316</v>
      </c>
      <c r="G221" s="1">
        <v>60</v>
      </c>
      <c r="H221" s="1"/>
      <c r="I221" s="1"/>
      <c r="J221" s="1">
        <f>Table22[[#This Row],[Qty]]-Table22[[#This Row],[Qty arrive]]</f>
        <v>60</v>
      </c>
    </row>
    <row r="222" spans="1:10">
      <c r="A222" s="1" t="s">
        <v>338</v>
      </c>
      <c r="B222" s="21"/>
      <c r="C222" s="2">
        <v>46058</v>
      </c>
      <c r="D222" s="19" t="s">
        <v>32</v>
      </c>
      <c r="E222" s="1" t="s">
        <v>33</v>
      </c>
      <c r="F222" s="4" t="s">
        <v>345</v>
      </c>
      <c r="G222" s="1">
        <v>60</v>
      </c>
      <c r="H222" s="1"/>
      <c r="I222" s="1"/>
      <c r="J222" s="1">
        <f>Table22[[#This Row],[Qty]]-Table22[[#This Row],[Qty arrive]]</f>
        <v>60</v>
      </c>
    </row>
    <row r="223" spans="1:10">
      <c r="A223" s="1" t="s">
        <v>346</v>
      </c>
      <c r="B223" s="21" t="s">
        <v>347</v>
      </c>
      <c r="C223" s="2">
        <v>46062</v>
      </c>
      <c r="D223" s="19" t="s">
        <v>348</v>
      </c>
      <c r="E223" s="1" t="s">
        <v>349</v>
      </c>
      <c r="F223" s="4" t="s">
        <v>350</v>
      </c>
      <c r="G223" s="1">
        <v>2</v>
      </c>
      <c r="H223" s="1">
        <v>2</v>
      </c>
      <c r="I223" s="1"/>
      <c r="J223" s="1">
        <f>Table22[[#This Row],[Qty]]-Table22[[#This Row],[Qty arrive]]</f>
        <v>0</v>
      </c>
    </row>
    <row r="224" spans="1:10">
      <c r="A224" s="1" t="s">
        <v>351</v>
      </c>
      <c r="B224" s="21"/>
      <c r="C224" s="2">
        <v>46064</v>
      </c>
      <c r="D224" s="19" t="s">
        <v>57</v>
      </c>
      <c r="E224" s="1" t="s">
        <v>309</v>
      </c>
      <c r="F224" s="4" t="s">
        <v>352</v>
      </c>
      <c r="G224" s="1">
        <v>1</v>
      </c>
      <c r="H224" s="1"/>
      <c r="I224" s="1"/>
      <c r="J224" s="1">
        <f>Table22[[#This Row],[Qty]]-Table22[[#This Row],[Qty arrive]]</f>
        <v>1</v>
      </c>
    </row>
    <row r="225" spans="1:10">
      <c r="A225" s="1" t="s">
        <v>353</v>
      </c>
      <c r="B225" s="21"/>
      <c r="C225" s="2">
        <v>46066</v>
      </c>
      <c r="D225" s="19" t="s">
        <v>188</v>
      </c>
      <c r="E225" s="1" t="s">
        <v>189</v>
      </c>
      <c r="F225" s="4" t="s">
        <v>354</v>
      </c>
      <c r="G225" s="1">
        <v>50</v>
      </c>
      <c r="H225" s="1"/>
      <c r="I225" s="1"/>
      <c r="J225" s="1">
        <f>Table22[[#This Row],[Qty]]-Table22[[#This Row],[Qty arrive]]</f>
        <v>50</v>
      </c>
    </row>
    <row r="226" spans="1:10">
      <c r="A226" s="1" t="s">
        <v>355</v>
      </c>
      <c r="B226" s="24"/>
      <c r="C226" s="2">
        <v>46066</v>
      </c>
      <c r="D226" s="19" t="s">
        <v>231</v>
      </c>
      <c r="E226" s="1" t="s">
        <v>232</v>
      </c>
      <c r="F226" s="4" t="s">
        <v>356</v>
      </c>
      <c r="G226" s="1">
        <v>7</v>
      </c>
      <c r="H226" s="1"/>
      <c r="I226" s="1"/>
      <c r="J226" s="1">
        <f>Table22[[#This Row],[Qty]]-Table22[[#This Row],[Qty arrive]]</f>
        <v>7</v>
      </c>
    </row>
    <row r="227" spans="1:10">
      <c r="A227" s="1" t="s">
        <v>357</v>
      </c>
      <c r="B227" s="21" t="s">
        <v>358</v>
      </c>
      <c r="C227" s="2">
        <v>46073</v>
      </c>
      <c r="D227" s="19" t="s">
        <v>254</v>
      </c>
      <c r="E227" s="1" t="s">
        <v>359</v>
      </c>
      <c r="F227" s="4" t="s">
        <v>360</v>
      </c>
      <c r="G227" s="1">
        <v>2</v>
      </c>
      <c r="H227" s="16"/>
      <c r="I227" s="17"/>
      <c r="J227" s="16"/>
    </row>
    <row r="228" spans="1:10">
      <c r="A228" s="1" t="s">
        <v>357</v>
      </c>
      <c r="B228" s="21" t="s">
        <v>358</v>
      </c>
      <c r="C228" s="2">
        <v>46073</v>
      </c>
      <c r="D228" s="19" t="s">
        <v>254</v>
      </c>
      <c r="E228" s="1" t="s">
        <v>359</v>
      </c>
      <c r="F228" s="4" t="s">
        <v>361</v>
      </c>
      <c r="G228" s="1">
        <v>8</v>
      </c>
      <c r="H228" s="1"/>
      <c r="I228" s="1"/>
      <c r="J228" s="1">
        <f>Table22[[#This Row],[Qty]]-Table22[[#This Row],[Qty arrive]]</f>
        <v>8</v>
      </c>
    </row>
    <row r="229" spans="1:10">
      <c r="A229" s="1" t="s">
        <v>357</v>
      </c>
      <c r="B229" s="21" t="s">
        <v>358</v>
      </c>
      <c r="C229" s="2">
        <v>46073</v>
      </c>
      <c r="D229" s="19" t="s">
        <v>254</v>
      </c>
      <c r="E229" s="1" t="s">
        <v>359</v>
      </c>
      <c r="F229" s="4" t="s">
        <v>362</v>
      </c>
      <c r="G229" s="1">
        <v>4</v>
      </c>
      <c r="H229" s="1">
        <v>4</v>
      </c>
      <c r="I229" s="1"/>
      <c r="J229" s="1">
        <f>Table22[[#This Row],[Qty]]-Table22[[#This Row],[Qty arrive]]</f>
        <v>0</v>
      </c>
    </row>
    <row r="230" spans="1:10">
      <c r="A230" s="1" t="s">
        <v>357</v>
      </c>
      <c r="B230" s="24" t="s">
        <v>363</v>
      </c>
      <c r="C230" s="2">
        <v>46073</v>
      </c>
      <c r="D230" s="19" t="s">
        <v>254</v>
      </c>
      <c r="E230" s="1" t="s">
        <v>359</v>
      </c>
      <c r="F230" s="4" t="s">
        <v>364</v>
      </c>
      <c r="G230" s="1">
        <v>2</v>
      </c>
      <c r="H230" s="1">
        <v>2</v>
      </c>
      <c r="I230" s="1"/>
      <c r="J230" s="1">
        <f>Table22[[#This Row],[Qty]]-Table22[[#This Row],[Qty arrive]]</f>
        <v>0</v>
      </c>
    </row>
    <row r="231" spans="1:10">
      <c r="A231" s="1" t="s">
        <v>357</v>
      </c>
      <c r="B231" s="24" t="s">
        <v>363</v>
      </c>
      <c r="C231" s="2">
        <v>46073</v>
      </c>
      <c r="D231" s="19" t="s">
        <v>254</v>
      </c>
      <c r="E231" s="1" t="s">
        <v>359</v>
      </c>
      <c r="F231" s="4" t="s">
        <v>365</v>
      </c>
      <c r="G231" s="1">
        <v>11</v>
      </c>
      <c r="H231" s="1">
        <v>11</v>
      </c>
      <c r="I231" s="1"/>
      <c r="J231" s="1">
        <f>Table22[[#This Row],[Qty]]-Table22[[#This Row],[Qty arrive]]</f>
        <v>0</v>
      </c>
    </row>
    <row r="232" spans="1:10">
      <c r="A232" s="1" t="s">
        <v>357</v>
      </c>
      <c r="B232" s="21"/>
      <c r="C232" s="2">
        <v>46073</v>
      </c>
      <c r="D232" s="19" t="s">
        <v>254</v>
      </c>
      <c r="E232" s="1" t="s">
        <v>359</v>
      </c>
      <c r="F232" s="4" t="s">
        <v>366</v>
      </c>
      <c r="G232" s="1">
        <v>2</v>
      </c>
      <c r="H232" s="1"/>
      <c r="I232" s="1"/>
      <c r="J232" s="1">
        <f>Table22[[#This Row],[Qty]]-Table22[[#This Row],[Qty arrive]]</f>
        <v>2</v>
      </c>
    </row>
    <row r="233" spans="1:10">
      <c r="A233" s="1" t="s">
        <v>367</v>
      </c>
      <c r="B233" s="21"/>
      <c r="C233" s="2">
        <v>46079</v>
      </c>
      <c r="D233" s="19" t="s">
        <v>167</v>
      </c>
      <c r="E233" s="1" t="s">
        <v>309</v>
      </c>
      <c r="F233" s="4" t="s">
        <v>368</v>
      </c>
      <c r="G233" s="1">
        <v>43</v>
      </c>
      <c r="H233" s="1"/>
      <c r="I233" s="1"/>
      <c r="J233" s="1">
        <f>Table22[[#This Row],[Qty]]-Table22[[#This Row],[Qty arrive]]</f>
        <v>43</v>
      </c>
    </row>
    <row r="234" spans="1:10">
      <c r="A234" s="1" t="s">
        <v>369</v>
      </c>
      <c r="B234" s="21" t="s">
        <v>370</v>
      </c>
      <c r="C234" s="2">
        <v>46080</v>
      </c>
      <c r="D234" s="9" t="s">
        <v>276</v>
      </c>
      <c r="E234" s="1" t="s">
        <v>184</v>
      </c>
      <c r="F234" s="4" t="s">
        <v>275</v>
      </c>
      <c r="G234" s="1">
        <v>3</v>
      </c>
      <c r="H234" s="1"/>
      <c r="I234" s="1"/>
      <c r="J234" s="1">
        <f>Table22[[#This Row],[Qty]]-Table22[[#This Row],[Qty arrive]]</f>
        <v>3</v>
      </c>
    </row>
    <row r="235" spans="1:10">
      <c r="A235" s="1" t="s">
        <v>371</v>
      </c>
      <c r="B235" t="s">
        <v>372</v>
      </c>
      <c r="C235" s="2">
        <v>46080</v>
      </c>
      <c r="D235" s="19" t="s">
        <v>299</v>
      </c>
      <c r="E235" s="1" t="s">
        <v>373</v>
      </c>
      <c r="F235" s="4" t="s">
        <v>304</v>
      </c>
      <c r="G235" s="1">
        <v>43</v>
      </c>
      <c r="H235" s="1"/>
      <c r="I235" s="1"/>
      <c r="J235" s="1"/>
    </row>
    <row r="236" spans="1:10">
      <c r="A236" s="1" t="s">
        <v>374</v>
      </c>
      <c r="B236" t="s">
        <v>372</v>
      </c>
      <c r="C236" s="2">
        <v>46080</v>
      </c>
      <c r="D236" s="9" t="s">
        <v>276</v>
      </c>
      <c r="E236" s="1" t="s">
        <v>184</v>
      </c>
      <c r="F236" s="4" t="s">
        <v>314</v>
      </c>
      <c r="G236" s="1">
        <v>72</v>
      </c>
      <c r="H236" s="1"/>
      <c r="I236" s="1"/>
      <c r="J236" s="1"/>
    </row>
    <row r="237" spans="1:10">
      <c r="A237" s="1" t="s">
        <v>375</v>
      </c>
      <c r="B237" s="27" t="s">
        <v>376</v>
      </c>
      <c r="C237" s="2">
        <v>46086</v>
      </c>
      <c r="D237" s="9" t="s">
        <v>276</v>
      </c>
      <c r="E237" s="1" t="s">
        <v>184</v>
      </c>
      <c r="F237" s="4" t="s">
        <v>377</v>
      </c>
      <c r="G237" s="1">
        <v>1</v>
      </c>
      <c r="H237" s="1">
        <v>1</v>
      </c>
      <c r="I237" s="1"/>
      <c r="J237" s="1">
        <f>Table22[[#This Row],[Qty]]-Table22[[#This Row],[Qty arrive]]</f>
        <v>0</v>
      </c>
    </row>
    <row r="238" spans="1:10">
      <c r="A238" s="1" t="s">
        <v>378</v>
      </c>
      <c r="B238" s="21" t="s">
        <v>330</v>
      </c>
      <c r="C238" s="2">
        <v>46086</v>
      </c>
      <c r="D238" s="19" t="s">
        <v>231</v>
      </c>
      <c r="E238" s="1" t="s">
        <v>232</v>
      </c>
      <c r="F238" s="4" t="s">
        <v>379</v>
      </c>
      <c r="G238" s="1">
        <v>3</v>
      </c>
      <c r="H238" s="1"/>
      <c r="I238" s="1"/>
      <c r="J238" s="1">
        <f>Table22[[#This Row],[Qty]]-Table22[[#This Row],[Qty arrive]]</f>
        <v>3</v>
      </c>
    </row>
    <row r="239" spans="1:10">
      <c r="A239" s="1" t="s">
        <v>380</v>
      </c>
      <c r="B239" s="25" t="s">
        <v>381</v>
      </c>
      <c r="C239" s="2">
        <v>46090</v>
      </c>
      <c r="D239" s="19" t="s">
        <v>62</v>
      </c>
      <c r="E239" s="1" t="s">
        <v>122</v>
      </c>
      <c r="F239" s="4" t="s">
        <v>236</v>
      </c>
      <c r="G239" s="1">
        <v>5</v>
      </c>
      <c r="H239" s="1">
        <v>5</v>
      </c>
      <c r="I239" s="1"/>
      <c r="J239" s="1">
        <f>Table22[[#This Row],[Qty]]-Table22[[#This Row],[Qty arrive]]</f>
        <v>0</v>
      </c>
    </row>
    <row r="240" spans="1:10">
      <c r="A240" s="1" t="s">
        <v>380</v>
      </c>
      <c r="B240" s="25" t="s">
        <v>381</v>
      </c>
      <c r="C240" s="2">
        <v>46090</v>
      </c>
      <c r="D240" s="19" t="s">
        <v>62</v>
      </c>
      <c r="E240" s="1" t="s">
        <v>122</v>
      </c>
      <c r="F240" s="4" t="s">
        <v>382</v>
      </c>
      <c r="G240" s="1">
        <v>2</v>
      </c>
      <c r="H240" s="1">
        <v>2</v>
      </c>
      <c r="I240" s="1"/>
      <c r="J240" s="1">
        <f>Table22[[#This Row],[Qty]]-Table22[[#This Row],[Qty arrive]]</f>
        <v>0</v>
      </c>
    </row>
    <row r="241" spans="1:10">
      <c r="A241" s="1" t="s">
        <v>380</v>
      </c>
      <c r="B241" s="25" t="s">
        <v>381</v>
      </c>
      <c r="C241" s="2">
        <v>46090</v>
      </c>
      <c r="D241" s="19" t="s">
        <v>62</v>
      </c>
      <c r="E241" s="1" t="s">
        <v>122</v>
      </c>
      <c r="F241" s="4" t="s">
        <v>383</v>
      </c>
      <c r="G241" s="1">
        <v>10</v>
      </c>
      <c r="H241" s="1">
        <v>10</v>
      </c>
      <c r="I241" s="1"/>
      <c r="J241" s="1">
        <f>Table22[[#This Row],[Qty]]-Table22[[#This Row],[Qty arrive]]</f>
        <v>0</v>
      </c>
    </row>
    <row r="242" spans="1:10">
      <c r="A242" s="1" t="s">
        <v>384</v>
      </c>
      <c r="B242" s="21" t="s">
        <v>385</v>
      </c>
      <c r="C242" s="2">
        <v>46091</v>
      </c>
      <c r="D242" s="19" t="s">
        <v>231</v>
      </c>
      <c r="E242" s="4" t="s">
        <v>232</v>
      </c>
      <c r="F242" s="4" t="s">
        <v>386</v>
      </c>
      <c r="G242" s="1">
        <v>15</v>
      </c>
      <c r="H242" s="1">
        <v>15</v>
      </c>
      <c r="I242" s="1"/>
      <c r="J242" s="1">
        <f>Table22[[#This Row],[Qty]]-Table22[[#This Row],[Qty arrive]]</f>
        <v>0</v>
      </c>
    </row>
    <row r="243" spans="1:10">
      <c r="A243" s="1" t="s">
        <v>384</v>
      </c>
      <c r="B243" s="21" t="s">
        <v>387</v>
      </c>
      <c r="C243" s="2">
        <v>46091</v>
      </c>
      <c r="D243" s="19" t="s">
        <v>231</v>
      </c>
      <c r="E243" s="4" t="s">
        <v>232</v>
      </c>
      <c r="F243" s="4" t="s">
        <v>271</v>
      </c>
      <c r="G243" s="1">
        <v>15</v>
      </c>
      <c r="H243" s="1"/>
      <c r="I243" s="1"/>
      <c r="J243" s="1">
        <f>Table22[[#This Row],[Qty]]-Table22[[#This Row],[Qty arrive]]</f>
        <v>15</v>
      </c>
    </row>
    <row r="244" spans="1:10">
      <c r="A244" s="1" t="s">
        <v>384</v>
      </c>
      <c r="B244" s="21" t="s">
        <v>385</v>
      </c>
      <c r="C244" s="2">
        <v>46091</v>
      </c>
      <c r="D244" s="19" t="s">
        <v>231</v>
      </c>
      <c r="E244" s="4" t="s">
        <v>232</v>
      </c>
      <c r="F244" s="4" t="s">
        <v>388</v>
      </c>
      <c r="G244" s="1">
        <v>30</v>
      </c>
      <c r="H244" s="1">
        <v>30</v>
      </c>
      <c r="I244" s="1"/>
      <c r="J244" s="1">
        <f>Table22[[#This Row],[Qty]]-Table22[[#This Row],[Qty arrive]]</f>
        <v>0</v>
      </c>
    </row>
    <row r="245" spans="1:10">
      <c r="A245" s="1" t="s">
        <v>389</v>
      </c>
      <c r="B245" s="21" t="s">
        <v>390</v>
      </c>
      <c r="C245" s="2">
        <v>46091</v>
      </c>
      <c r="D245" s="9" t="s">
        <v>276</v>
      </c>
      <c r="E245" s="1" t="s">
        <v>184</v>
      </c>
      <c r="F245" s="4" t="s">
        <v>391</v>
      </c>
      <c r="G245" s="1">
        <v>10</v>
      </c>
      <c r="H245" s="1">
        <v>10</v>
      </c>
      <c r="I245" s="1"/>
      <c r="J245" s="1">
        <f>Table22[[#This Row],[Qty]]-Table22[[#This Row],[Qty arrive]]</f>
        <v>0</v>
      </c>
    </row>
    <row r="246" spans="1:10">
      <c r="A246" s="1" t="s">
        <v>392</v>
      </c>
      <c r="B246" s="21" t="s">
        <v>393</v>
      </c>
      <c r="C246" s="2">
        <v>46091</v>
      </c>
      <c r="D246" s="19" t="s">
        <v>167</v>
      </c>
      <c r="E246" s="1" t="s">
        <v>168</v>
      </c>
      <c r="F246" s="4" t="s">
        <v>394</v>
      </c>
      <c r="G246" s="1">
        <v>100</v>
      </c>
      <c r="H246" s="1"/>
      <c r="I246" s="1"/>
      <c r="J246" s="1">
        <f>Table22[[#This Row],[Qty]]-Table22[[#This Row],[Qty arrive]]</f>
        <v>100</v>
      </c>
    </row>
    <row r="247" spans="1:10">
      <c r="A247" s="1" t="s">
        <v>392</v>
      </c>
      <c r="B247" s="21" t="s">
        <v>393</v>
      </c>
      <c r="C247" s="2">
        <v>46091</v>
      </c>
      <c r="D247" s="19" t="s">
        <v>167</v>
      </c>
      <c r="E247" s="1" t="s">
        <v>168</v>
      </c>
      <c r="F247" s="4" t="s">
        <v>395</v>
      </c>
      <c r="G247" s="1">
        <v>50</v>
      </c>
      <c r="H247" s="1"/>
      <c r="I247" s="1"/>
      <c r="J247" s="1">
        <f>Table22[[#This Row],[Qty]]-Table22[[#This Row],[Qty arrive]]</f>
        <v>50</v>
      </c>
    </row>
    <row r="248" spans="1:10">
      <c r="A248" s="1" t="s">
        <v>396</v>
      </c>
      <c r="B248" s="21"/>
      <c r="C248" s="2">
        <v>46092</v>
      </c>
      <c r="D248" s="19" t="s">
        <v>167</v>
      </c>
      <c r="E248" s="1" t="s">
        <v>168</v>
      </c>
      <c r="F248" s="4" t="s">
        <v>397</v>
      </c>
      <c r="G248" s="1">
        <v>400</v>
      </c>
      <c r="H248" s="1"/>
      <c r="I248" s="1"/>
      <c r="J248" s="1">
        <f>Table22[[#This Row],[Qty]]-Table22[[#This Row],[Qty arrive]]</f>
        <v>400</v>
      </c>
    </row>
    <row r="249" spans="1:10">
      <c r="A249" s="1" t="s">
        <v>398</v>
      </c>
      <c r="B249" s="21" t="s">
        <v>399</v>
      </c>
      <c r="C249" s="2">
        <v>46094</v>
      </c>
      <c r="D249" s="19" t="s">
        <v>231</v>
      </c>
      <c r="E249" s="1" t="s">
        <v>232</v>
      </c>
      <c r="F249" s="4" t="s">
        <v>400</v>
      </c>
      <c r="G249" s="1">
        <v>6</v>
      </c>
      <c r="H249" s="1">
        <v>6</v>
      </c>
      <c r="I249" s="1"/>
      <c r="J249" s="1">
        <f>Table22[[#This Row],[Qty]]-Table22[[#This Row],[Qty arrive]]</f>
        <v>0</v>
      </c>
    </row>
    <row r="250" spans="1:10">
      <c r="A250" s="1" t="s">
        <v>398</v>
      </c>
      <c r="B250" s="21" t="s">
        <v>401</v>
      </c>
      <c r="C250" s="2">
        <v>46094</v>
      </c>
      <c r="D250" s="19" t="s">
        <v>231</v>
      </c>
      <c r="E250" s="1" t="s">
        <v>232</v>
      </c>
      <c r="F250" s="4" t="s">
        <v>402</v>
      </c>
      <c r="G250" s="1">
        <v>70</v>
      </c>
      <c r="H250" s="1">
        <v>70</v>
      </c>
      <c r="I250" s="1"/>
      <c r="J250" s="1">
        <f>Table22[[#This Row],[Qty]]-Table22[[#This Row],[Qty arrive]]</f>
        <v>0</v>
      </c>
    </row>
    <row r="251" spans="1:10">
      <c r="A251" s="1" t="s">
        <v>403</v>
      </c>
      <c r="B251" s="25" t="s">
        <v>404</v>
      </c>
      <c r="C251" s="2">
        <v>46096</v>
      </c>
      <c r="D251" s="19" t="s">
        <v>167</v>
      </c>
      <c r="E251" s="1" t="s">
        <v>168</v>
      </c>
      <c r="F251" s="4" t="s">
        <v>405</v>
      </c>
      <c r="G251" s="1">
        <v>2</v>
      </c>
      <c r="H251" s="1">
        <v>2</v>
      </c>
      <c r="I251" s="1"/>
      <c r="J251" s="1">
        <f>Table22[[#This Row],[Qty]]-Table22[[#This Row],[Qty arrive]]</f>
        <v>0</v>
      </c>
    </row>
    <row r="252" spans="1:10">
      <c r="A252" s="1" t="s">
        <v>403</v>
      </c>
      <c r="B252" s="25" t="s">
        <v>404</v>
      </c>
      <c r="C252" s="2">
        <v>46096</v>
      </c>
      <c r="D252" s="19" t="s">
        <v>167</v>
      </c>
      <c r="E252" s="1" t="s">
        <v>168</v>
      </c>
      <c r="F252" s="4" t="s">
        <v>406</v>
      </c>
      <c r="G252" s="1">
        <v>2</v>
      </c>
      <c r="H252" s="1">
        <v>2</v>
      </c>
      <c r="I252" s="1"/>
      <c r="J252" s="1">
        <f>Table22[[#This Row],[Qty]]-Table22[[#This Row],[Qty arrive]]</f>
        <v>0</v>
      </c>
    </row>
    <row r="253" spans="1:10">
      <c r="A253" s="1" t="s">
        <v>407</v>
      </c>
      <c r="B253" s="21" t="s">
        <v>408</v>
      </c>
      <c r="C253" s="2">
        <v>46097</v>
      </c>
      <c r="D253" s="19" t="s">
        <v>231</v>
      </c>
      <c r="E253" s="1" t="s">
        <v>232</v>
      </c>
      <c r="F253" s="4" t="s">
        <v>409</v>
      </c>
      <c r="G253" s="1">
        <v>1</v>
      </c>
      <c r="H253" s="1">
        <v>1</v>
      </c>
      <c r="I253" s="1"/>
      <c r="J253" s="1">
        <f>Table22[[#This Row],[Qty]]-Table22[[#This Row],[Qty arrive]]</f>
        <v>0</v>
      </c>
    </row>
    <row r="254" spans="1:10">
      <c r="A254" s="1" t="s">
        <v>407</v>
      </c>
      <c r="B254" s="21" t="s">
        <v>408</v>
      </c>
      <c r="C254" s="2">
        <v>46097</v>
      </c>
      <c r="D254" s="19" t="s">
        <v>231</v>
      </c>
      <c r="E254" s="1" t="s">
        <v>232</v>
      </c>
      <c r="F254" s="4" t="s">
        <v>410</v>
      </c>
      <c r="G254" s="1">
        <v>1</v>
      </c>
      <c r="H254" s="1">
        <v>1</v>
      </c>
      <c r="I254" s="1"/>
      <c r="J254" s="1">
        <f>Table22[[#This Row],[Qty]]-Table22[[#This Row],[Qty arrive]]</f>
        <v>0</v>
      </c>
    </row>
    <row r="255" spans="1:10">
      <c r="A255" s="1" t="s">
        <v>407</v>
      </c>
      <c r="B255" s="21" t="s">
        <v>408</v>
      </c>
      <c r="C255" s="2">
        <v>46097</v>
      </c>
      <c r="D255" s="19" t="s">
        <v>231</v>
      </c>
      <c r="E255" s="1" t="s">
        <v>232</v>
      </c>
      <c r="F255" s="4" t="s">
        <v>411</v>
      </c>
      <c r="G255" s="1">
        <v>4</v>
      </c>
      <c r="H255" s="1">
        <v>2</v>
      </c>
      <c r="I255" s="1"/>
      <c r="J255" s="1">
        <f>Table22[[#This Row],[Qty]]-Table22[[#This Row],[Qty arrive]]</f>
        <v>2</v>
      </c>
    </row>
    <row r="256" spans="1:10">
      <c r="A256" s="1" t="s">
        <v>407</v>
      </c>
      <c r="B256" s="21" t="s">
        <v>408</v>
      </c>
      <c r="C256" s="2">
        <v>46097</v>
      </c>
      <c r="D256" s="19" t="s">
        <v>231</v>
      </c>
      <c r="E256" s="1" t="s">
        <v>232</v>
      </c>
      <c r="F256" s="4" t="s">
        <v>412</v>
      </c>
      <c r="G256" s="1">
        <v>1</v>
      </c>
      <c r="H256" s="1">
        <v>1</v>
      </c>
      <c r="I256" s="1"/>
      <c r="J256" s="1">
        <f>Table22[[#This Row],[Qty]]-Table22[[#This Row],[Qty arrive]]</f>
        <v>0</v>
      </c>
    </row>
    <row r="257" spans="1:10">
      <c r="A257" s="1" t="s">
        <v>407</v>
      </c>
      <c r="B257" s="21" t="s">
        <v>408</v>
      </c>
      <c r="C257" s="2">
        <v>46097</v>
      </c>
      <c r="D257" s="19" t="s">
        <v>231</v>
      </c>
      <c r="E257" s="1" t="s">
        <v>232</v>
      </c>
      <c r="F257" s="4" t="s">
        <v>413</v>
      </c>
      <c r="G257" s="1">
        <v>9</v>
      </c>
      <c r="H257" s="1">
        <v>9</v>
      </c>
      <c r="I257" s="1"/>
      <c r="J257" s="1">
        <f>Table22[[#This Row],[Qty]]-Table22[[#This Row],[Qty arrive]]</f>
        <v>0</v>
      </c>
    </row>
    <row r="258" spans="1:10">
      <c r="A258" s="1" t="s">
        <v>407</v>
      </c>
      <c r="B258" s="21" t="s">
        <v>408</v>
      </c>
      <c r="C258" s="2">
        <v>46097</v>
      </c>
      <c r="D258" s="19" t="s">
        <v>231</v>
      </c>
      <c r="E258" s="1" t="s">
        <v>232</v>
      </c>
      <c r="F258" s="4" t="s">
        <v>414</v>
      </c>
      <c r="G258" s="1">
        <v>2</v>
      </c>
      <c r="H258" s="1">
        <v>2</v>
      </c>
      <c r="I258" s="1"/>
      <c r="J258" s="1">
        <f>Table22[[#This Row],[Qty]]-Table22[[#This Row],[Qty arrive]]</f>
        <v>0</v>
      </c>
    </row>
    <row r="259" spans="1:10">
      <c r="A259" s="1" t="s">
        <v>415</v>
      </c>
      <c r="B259" s="21" t="s">
        <v>416</v>
      </c>
      <c r="C259" s="2">
        <v>46097</v>
      </c>
      <c r="D259" s="19" t="s">
        <v>167</v>
      </c>
      <c r="E259" s="1" t="s">
        <v>168</v>
      </c>
      <c r="F259" s="4" t="s">
        <v>417</v>
      </c>
      <c r="G259" s="1">
        <v>10</v>
      </c>
      <c r="H259" s="1">
        <v>10</v>
      </c>
      <c r="I259" s="1"/>
      <c r="J259" s="1">
        <f>Table22[[#This Row],[Qty]]-Table22[[#This Row],[Qty arrive]]</f>
        <v>0</v>
      </c>
    </row>
    <row r="260" spans="1:10">
      <c r="A260" s="1" t="s">
        <v>415</v>
      </c>
      <c r="B260" s="21" t="s">
        <v>416</v>
      </c>
      <c r="C260" s="2">
        <v>46097</v>
      </c>
      <c r="D260" s="19" t="s">
        <v>167</v>
      </c>
      <c r="E260" s="1" t="s">
        <v>168</v>
      </c>
      <c r="F260" s="4" t="s">
        <v>312</v>
      </c>
      <c r="G260" s="1">
        <v>2</v>
      </c>
      <c r="H260" s="1">
        <v>2</v>
      </c>
      <c r="I260" s="1"/>
      <c r="J260" s="1">
        <f>Table22[[#This Row],[Qty]]-Table22[[#This Row],[Qty arrive]]</f>
        <v>0</v>
      </c>
    </row>
    <row r="261" spans="1:10">
      <c r="A261" s="1" t="s">
        <v>415</v>
      </c>
      <c r="B261" s="21" t="s">
        <v>416</v>
      </c>
      <c r="C261" s="2">
        <v>46097</v>
      </c>
      <c r="D261" s="19" t="s">
        <v>167</v>
      </c>
      <c r="E261" s="1" t="s">
        <v>168</v>
      </c>
      <c r="F261" s="4" t="s">
        <v>418</v>
      </c>
      <c r="G261" s="1">
        <v>2</v>
      </c>
      <c r="H261" s="1"/>
      <c r="I261" s="1"/>
      <c r="J261" s="1">
        <f>Table22[[#This Row],[Qty]]-Table22[[#This Row],[Qty arrive]]</f>
        <v>2</v>
      </c>
    </row>
    <row r="262" spans="1:10">
      <c r="A262" s="1" t="s">
        <v>415</v>
      </c>
      <c r="B262" s="21" t="s">
        <v>416</v>
      </c>
      <c r="C262" s="2">
        <v>46097</v>
      </c>
      <c r="D262" s="19" t="s">
        <v>167</v>
      </c>
      <c r="E262" s="1" t="s">
        <v>168</v>
      </c>
      <c r="F262" s="4" t="s">
        <v>419</v>
      </c>
      <c r="G262" s="1">
        <v>1</v>
      </c>
      <c r="H262" s="1">
        <v>1</v>
      </c>
      <c r="I262" s="1"/>
      <c r="J262" s="1">
        <f>Table22[[#This Row],[Qty]]-Table22[[#This Row],[Qty arrive]]</f>
        <v>0</v>
      </c>
    </row>
    <row r="263" spans="1:10">
      <c r="A263" s="1" t="s">
        <v>420</v>
      </c>
      <c r="B263" s="21" t="s">
        <v>421</v>
      </c>
      <c r="C263" s="2">
        <v>46097</v>
      </c>
      <c r="D263" s="9" t="s">
        <v>276</v>
      </c>
      <c r="E263" s="1" t="s">
        <v>184</v>
      </c>
      <c r="F263" s="9" t="s">
        <v>422</v>
      </c>
      <c r="G263" s="1">
        <v>140</v>
      </c>
      <c r="H263" s="1"/>
      <c r="I263" s="1"/>
      <c r="J263" s="1">
        <f>Table22[[#This Row],[Qty]]-Table22[[#This Row],[Qty arrive]]</f>
        <v>140</v>
      </c>
    </row>
    <row r="264" spans="1:10">
      <c r="A264" s="1" t="s">
        <v>423</v>
      </c>
      <c r="B264" s="23" t="s">
        <v>424</v>
      </c>
      <c r="C264" s="2">
        <v>46099</v>
      </c>
      <c r="D264" s="19" t="s">
        <v>231</v>
      </c>
      <c r="E264" s="4" t="s">
        <v>232</v>
      </c>
      <c r="F264" s="9" t="s">
        <v>405</v>
      </c>
      <c r="G264" s="1">
        <v>1</v>
      </c>
      <c r="H264" s="1"/>
      <c r="I264" s="1"/>
      <c r="J264" s="1">
        <f>Table22[[#This Row],[Qty]]-Table22[[#This Row],[Qty arrive]]</f>
        <v>1</v>
      </c>
    </row>
    <row r="265" spans="1:10">
      <c r="A265" s="1" t="s">
        <v>423</v>
      </c>
      <c r="B265" s="23" t="s">
        <v>424</v>
      </c>
      <c r="C265" s="2">
        <v>46099</v>
      </c>
      <c r="D265" s="19" t="s">
        <v>231</v>
      </c>
      <c r="E265" s="4" t="s">
        <v>232</v>
      </c>
      <c r="F265" s="9" t="s">
        <v>425</v>
      </c>
      <c r="G265" s="1">
        <v>1</v>
      </c>
      <c r="H265" s="1">
        <v>1</v>
      </c>
      <c r="I265" s="1"/>
      <c r="J265" s="1">
        <f>Table22[[#This Row],[Qty]]-Table22[[#This Row],[Qty arrive]]</f>
        <v>0</v>
      </c>
    </row>
    <row r="266" spans="1:10">
      <c r="A266" s="1" t="s">
        <v>423</v>
      </c>
      <c r="B266" s="23" t="s">
        <v>424</v>
      </c>
      <c r="C266" s="2">
        <v>46099</v>
      </c>
      <c r="D266" s="19" t="s">
        <v>231</v>
      </c>
      <c r="E266" s="4" t="s">
        <v>232</v>
      </c>
      <c r="F266" s="9" t="s">
        <v>426</v>
      </c>
      <c r="G266" s="1">
        <v>1</v>
      </c>
      <c r="H266" s="1"/>
      <c r="I266" s="1"/>
      <c r="J266" s="1">
        <f>Table22[[#This Row],[Qty]]-Table22[[#This Row],[Qty arrive]]</f>
        <v>1</v>
      </c>
    </row>
    <row r="267" spans="1:10">
      <c r="A267" s="1" t="s">
        <v>427</v>
      </c>
      <c r="B267" s="21" t="s">
        <v>428</v>
      </c>
      <c r="C267" s="2">
        <v>46099</v>
      </c>
      <c r="D267" s="19" t="s">
        <v>167</v>
      </c>
      <c r="E267" s="1" t="s">
        <v>168</v>
      </c>
      <c r="F267" s="9" t="s">
        <v>429</v>
      </c>
      <c r="G267" s="1">
        <v>1</v>
      </c>
      <c r="H267" s="1">
        <v>1</v>
      </c>
      <c r="I267" s="1"/>
      <c r="J267" s="1">
        <f>Table22[[#This Row],[Qty]]-Table22[[#This Row],[Qty arrive]]</f>
        <v>0</v>
      </c>
    </row>
    <row r="268" spans="1:10">
      <c r="A268" s="1" t="s">
        <v>430</v>
      </c>
      <c r="B268" s="21" t="s">
        <v>431</v>
      </c>
      <c r="C268" s="2">
        <v>46105</v>
      </c>
      <c r="D268" s="19" t="s">
        <v>231</v>
      </c>
      <c r="E268" s="4" t="s">
        <v>232</v>
      </c>
      <c r="F268" s="9" t="s">
        <v>432</v>
      </c>
      <c r="G268" s="1">
        <v>2</v>
      </c>
      <c r="H268" s="1"/>
      <c r="I268" s="1"/>
      <c r="J268" s="1">
        <f>Table22[[#This Row],[Qty]]-Table22[[#This Row],[Qty arrive]]</f>
        <v>2</v>
      </c>
    </row>
    <row r="269" spans="1:10">
      <c r="A269" s="1" t="s">
        <v>433</v>
      </c>
      <c r="B269" s="21" t="s">
        <v>434</v>
      </c>
      <c r="C269" s="2">
        <v>46106</v>
      </c>
      <c r="D269" s="19" t="s">
        <v>62</v>
      </c>
      <c r="E269" s="1" t="s">
        <v>122</v>
      </c>
      <c r="F269" s="9" t="s">
        <v>383</v>
      </c>
      <c r="G269" s="1">
        <v>10</v>
      </c>
      <c r="H269" s="1"/>
      <c r="I269" s="1"/>
      <c r="J269" s="1">
        <f>Table22[[#This Row],[Qty]]-Table22[[#This Row],[Qty arrive]]</f>
        <v>10</v>
      </c>
    </row>
    <row r="270" spans="1:10">
      <c r="A270" s="1" t="s">
        <v>435</v>
      </c>
      <c r="B270" s="21" t="s">
        <v>436</v>
      </c>
      <c r="C270" s="2">
        <v>46106</v>
      </c>
      <c r="D270" s="19" t="s">
        <v>62</v>
      </c>
      <c r="E270" s="1" t="s">
        <v>122</v>
      </c>
      <c r="F270" s="4" t="s">
        <v>437</v>
      </c>
      <c r="G270" s="1">
        <v>100</v>
      </c>
      <c r="H270" s="1"/>
      <c r="I270" s="1"/>
      <c r="J270" s="1">
        <f>Table22[[#This Row],[Qty]]-Table22[[#This Row],[Qty arrive]]</f>
        <v>100</v>
      </c>
    </row>
    <row r="271" spans="1:10">
      <c r="A271" s="1" t="s">
        <v>435</v>
      </c>
      <c r="B271" s="21" t="s">
        <v>436</v>
      </c>
      <c r="C271" s="2">
        <v>46106</v>
      </c>
      <c r="D271" s="19" t="s">
        <v>62</v>
      </c>
      <c r="E271" s="1" t="s">
        <v>122</v>
      </c>
      <c r="F271" s="4" t="s">
        <v>438</v>
      </c>
      <c r="G271" s="1">
        <v>100</v>
      </c>
      <c r="H271" s="1"/>
      <c r="I271" s="1"/>
      <c r="J271" s="1">
        <f>Table22[[#This Row],[Qty]]-Table22[[#This Row],[Qty arrive]]</f>
        <v>100</v>
      </c>
    </row>
    <row r="272" spans="1:10">
      <c r="A272" s="1" t="s">
        <v>435</v>
      </c>
      <c r="B272" s="21" t="s">
        <v>436</v>
      </c>
      <c r="C272" s="2">
        <v>46106</v>
      </c>
      <c r="D272" s="19" t="s">
        <v>62</v>
      </c>
      <c r="E272" s="1" t="s">
        <v>122</v>
      </c>
      <c r="F272" s="4" t="s">
        <v>439</v>
      </c>
      <c r="G272" s="1">
        <v>100</v>
      </c>
      <c r="H272" s="1"/>
      <c r="I272" s="1"/>
      <c r="J272" s="1">
        <f>Table22[[#This Row],[Qty]]-Table22[[#This Row],[Qty arrive]]</f>
        <v>100</v>
      </c>
    </row>
    <row r="273" spans="1:10">
      <c r="A273" s="1" t="s">
        <v>435</v>
      </c>
      <c r="B273" s="21" t="s">
        <v>440</v>
      </c>
      <c r="C273" s="2">
        <v>46106</v>
      </c>
      <c r="D273" s="19" t="s">
        <v>62</v>
      </c>
      <c r="E273" s="1" t="s">
        <v>122</v>
      </c>
      <c r="F273" s="4" t="s">
        <v>441</v>
      </c>
      <c r="G273" s="1"/>
      <c r="H273" s="1"/>
      <c r="I273" s="1"/>
      <c r="J273" s="1">
        <f>Table22[[#This Row],[Qty]]-Table22[[#This Row],[Qty arrive]]</f>
        <v>0</v>
      </c>
    </row>
    <row r="274" spans="1:10">
      <c r="A274" s="1" t="s">
        <v>435</v>
      </c>
      <c r="B274" s="21" t="s">
        <v>440</v>
      </c>
      <c r="C274" s="2">
        <v>46106</v>
      </c>
      <c r="D274" s="19" t="s">
        <v>62</v>
      </c>
      <c r="E274" s="1" t="s">
        <v>122</v>
      </c>
      <c r="F274" s="4" t="s">
        <v>442</v>
      </c>
      <c r="G274" s="1"/>
      <c r="H274" s="1"/>
      <c r="I274" s="1"/>
      <c r="J274" s="1">
        <f>Table22[[#This Row],[Qty]]-Table22[[#This Row],[Qty arrive]]</f>
        <v>0</v>
      </c>
    </row>
    <row r="275" spans="1:10">
      <c r="A275" s="1" t="s">
        <v>435</v>
      </c>
      <c r="B275" s="21" t="s">
        <v>440</v>
      </c>
      <c r="C275" s="2">
        <v>46106</v>
      </c>
      <c r="D275" s="19" t="s">
        <v>62</v>
      </c>
      <c r="E275" s="1" t="s">
        <v>122</v>
      </c>
      <c r="F275" s="4" t="s">
        <v>443</v>
      </c>
      <c r="G275" s="1"/>
      <c r="H275" s="1"/>
      <c r="I275" s="1"/>
      <c r="J275" s="1">
        <f>Table22[[#This Row],[Qty]]-Table22[[#This Row],[Qty arrive]]</f>
        <v>0</v>
      </c>
    </row>
    <row r="276" spans="1:10">
      <c r="A276" s="1" t="s">
        <v>435</v>
      </c>
      <c r="B276" s="21" t="s">
        <v>440</v>
      </c>
      <c r="C276" s="2">
        <v>46106</v>
      </c>
      <c r="D276" s="19" t="s">
        <v>62</v>
      </c>
      <c r="E276" s="1" t="s">
        <v>122</v>
      </c>
      <c r="F276" s="4" t="s">
        <v>444</v>
      </c>
      <c r="G276" s="1"/>
      <c r="H276" s="1"/>
      <c r="I276" s="1"/>
      <c r="J276" s="1">
        <f>Table22[[#This Row],[Qty]]-Table22[[#This Row],[Qty arrive]]</f>
        <v>0</v>
      </c>
    </row>
    <row r="277" spans="1:10">
      <c r="A277" s="1" t="s">
        <v>435</v>
      </c>
      <c r="B277" s="21" t="s">
        <v>440</v>
      </c>
      <c r="C277" s="2">
        <v>46106</v>
      </c>
      <c r="D277" s="19" t="s">
        <v>62</v>
      </c>
      <c r="E277" s="1" t="s">
        <v>122</v>
      </c>
      <c r="F277" s="4" t="s">
        <v>323</v>
      </c>
      <c r="G277" s="1"/>
      <c r="H277" s="1"/>
      <c r="I277" s="1"/>
      <c r="J277" s="1">
        <f>Table22[[#This Row],[Qty]]-Table22[[#This Row],[Qty arrive]]</f>
        <v>0</v>
      </c>
    </row>
    <row r="278" spans="1:10">
      <c r="A278" s="1" t="s">
        <v>435</v>
      </c>
      <c r="B278" s="21" t="s">
        <v>440</v>
      </c>
      <c r="C278" s="2">
        <v>46106</v>
      </c>
      <c r="D278" s="19" t="s">
        <v>62</v>
      </c>
      <c r="E278" s="1" t="s">
        <v>122</v>
      </c>
      <c r="F278" s="4" t="s">
        <v>445</v>
      </c>
      <c r="G278" s="1"/>
      <c r="H278" s="1"/>
      <c r="I278" s="1"/>
      <c r="J278" s="1">
        <f>Table22[[#This Row],[Qty]]-Table22[[#This Row],[Qty arrive]]</f>
        <v>0</v>
      </c>
    </row>
    <row r="279" spans="1:10">
      <c r="A279" s="1" t="s">
        <v>446</v>
      </c>
      <c r="B279" s="21" t="s">
        <v>447</v>
      </c>
      <c r="C279" s="2">
        <v>46114</v>
      </c>
      <c r="D279" s="19" t="s">
        <v>284</v>
      </c>
      <c r="E279" s="1" t="s">
        <v>46</v>
      </c>
      <c r="F279" s="4" t="s">
        <v>448</v>
      </c>
      <c r="G279" s="1">
        <v>3</v>
      </c>
      <c r="H279" s="1"/>
      <c r="I279" s="1"/>
      <c r="J279" s="1">
        <f>Table22[[#This Row],[Qty]]-Table22[[#This Row],[Qty arrive]]</f>
        <v>3</v>
      </c>
    </row>
    <row r="280" spans="1:10">
      <c r="A280" s="1" t="s">
        <v>446</v>
      </c>
      <c r="B280" s="21" t="s">
        <v>449</v>
      </c>
      <c r="C280" s="2">
        <v>46114</v>
      </c>
      <c r="D280" s="19" t="s">
        <v>284</v>
      </c>
      <c r="E280" s="1" t="s">
        <v>46</v>
      </c>
      <c r="F280" s="4" t="s">
        <v>450</v>
      </c>
      <c r="G280" s="1">
        <v>1</v>
      </c>
      <c r="H280" s="1"/>
      <c r="I280" s="1"/>
      <c r="J280" s="1">
        <f>Table22[[#This Row],[Qty]]-Table22[[#This Row],[Qty arrive]]</f>
        <v>1</v>
      </c>
    </row>
    <row r="281" spans="1:10">
      <c r="A281" s="1" t="s">
        <v>446</v>
      </c>
      <c r="B281" s="21"/>
      <c r="C281" s="2">
        <v>46114</v>
      </c>
      <c r="D281" s="19" t="s">
        <v>284</v>
      </c>
      <c r="E281" s="1" t="s">
        <v>46</v>
      </c>
      <c r="F281" s="4" t="s">
        <v>451</v>
      </c>
      <c r="G281" s="1">
        <v>1</v>
      </c>
      <c r="H281" s="1"/>
      <c r="I281" s="1"/>
      <c r="J281" s="1">
        <f>Table22[[#This Row],[Qty]]-Table22[[#This Row],[Qty arrive]]</f>
        <v>1</v>
      </c>
    </row>
    <row r="282" spans="1:10">
      <c r="A282" s="1" t="s">
        <v>446</v>
      </c>
      <c r="B282" s="21"/>
      <c r="C282" s="2">
        <v>46114</v>
      </c>
      <c r="D282" s="19" t="s">
        <v>284</v>
      </c>
      <c r="E282" s="1" t="s">
        <v>46</v>
      </c>
      <c r="F282" s="4" t="s">
        <v>452</v>
      </c>
      <c r="G282" s="1">
        <v>1</v>
      </c>
      <c r="H282" s="1"/>
      <c r="I282" s="1"/>
      <c r="J282" s="1">
        <f>Table22[[#This Row],[Qty]]-Table22[[#This Row],[Qty arrive]]</f>
        <v>1</v>
      </c>
    </row>
    <row r="283" spans="1:10">
      <c r="A283" s="1" t="s">
        <v>453</v>
      </c>
      <c r="B283" s="21"/>
      <c r="C283" s="2">
        <v>46118</v>
      </c>
      <c r="D283" s="19" t="s">
        <v>167</v>
      </c>
      <c r="E283" s="1" t="s">
        <v>168</v>
      </c>
      <c r="F283" s="4" t="s">
        <v>454</v>
      </c>
      <c r="G283" s="1">
        <v>1</v>
      </c>
      <c r="H283" s="1"/>
      <c r="I283" s="1"/>
      <c r="J283" s="1">
        <f>Table22[[#This Row],[Qty]]-Table22[[#This Row],[Qty arrive]]</f>
        <v>1</v>
      </c>
    </row>
    <row r="284" spans="1:10">
      <c r="A284" s="1" t="s">
        <v>455</v>
      </c>
      <c r="B284" t="s">
        <v>456</v>
      </c>
      <c r="C284" s="2">
        <v>46118</v>
      </c>
      <c r="D284" s="19" t="s">
        <v>62</v>
      </c>
      <c r="E284" s="1" t="s">
        <v>122</v>
      </c>
      <c r="F284" s="4" t="s">
        <v>457</v>
      </c>
      <c r="G284" s="1">
        <v>20</v>
      </c>
      <c r="H284" s="1"/>
      <c r="I284" s="1"/>
      <c r="J284" s="1">
        <f>Table22[[#This Row],[Qty]]-Table22[[#This Row],[Qty arrive]]</f>
        <v>20</v>
      </c>
    </row>
    <row r="285" spans="1:10">
      <c r="A285" s="1" t="s">
        <v>455</v>
      </c>
      <c r="B285" t="s">
        <v>456</v>
      </c>
      <c r="C285" s="2">
        <v>46118</v>
      </c>
      <c r="D285" s="19" t="s">
        <v>62</v>
      </c>
      <c r="E285" s="1" t="s">
        <v>122</v>
      </c>
      <c r="F285" s="4" t="s">
        <v>458</v>
      </c>
      <c r="G285" s="1">
        <v>10</v>
      </c>
      <c r="H285" s="1"/>
      <c r="I285" s="1"/>
      <c r="J285" s="1">
        <f>Table22[[#This Row],[Qty]]-Table22[[#This Row],[Qty arrive]]</f>
        <v>10</v>
      </c>
    </row>
    <row r="286" spans="1:10">
      <c r="A286" s="1" t="s">
        <v>455</v>
      </c>
      <c r="B286" s="21"/>
      <c r="C286" s="2">
        <v>46118</v>
      </c>
      <c r="D286" s="19" t="s">
        <v>62</v>
      </c>
      <c r="E286" s="1" t="s">
        <v>122</v>
      </c>
      <c r="F286" s="4" t="s">
        <v>459</v>
      </c>
      <c r="G286" s="28">
        <v>72</v>
      </c>
      <c r="H286" s="1"/>
      <c r="I286" s="1"/>
      <c r="J286" s="1">
        <f>Table22[[#This Row],[Qty]]-Table22[[#This Row],[Qty arrive]]</f>
        <v>72</v>
      </c>
    </row>
    <row r="287" spans="1:10">
      <c r="A287" s="1" t="s">
        <v>460</v>
      </c>
      <c r="B287" s="21" t="s">
        <v>461</v>
      </c>
      <c r="C287" s="2">
        <v>46118</v>
      </c>
      <c r="D287" s="19" t="s">
        <v>72</v>
      </c>
      <c r="E287" s="1" t="s">
        <v>179</v>
      </c>
      <c r="F287" s="4" t="s">
        <v>462</v>
      </c>
      <c r="G287" s="1">
        <v>1</v>
      </c>
      <c r="H287" s="1"/>
      <c r="I287" s="1"/>
      <c r="J287" s="1">
        <f>Table22[[#This Row],[Qty]]-Table22[[#This Row],[Qty arrive]]</f>
        <v>1</v>
      </c>
    </row>
    <row r="288" spans="1:10">
      <c r="A288" s="1" t="s">
        <v>463</v>
      </c>
      <c r="B288" t="s">
        <v>464</v>
      </c>
      <c r="C288" s="2">
        <v>46121</v>
      </c>
      <c r="D288" s="19" t="s">
        <v>32</v>
      </c>
      <c r="E288" s="1" t="s">
        <v>33</v>
      </c>
      <c r="F288" s="4" t="s">
        <v>465</v>
      </c>
      <c r="G288" s="1">
        <v>6</v>
      </c>
      <c r="H288" s="1"/>
      <c r="I288" s="1"/>
      <c r="J288" s="1">
        <f>Table22[[#This Row],[Qty]]-Table22[[#This Row],[Qty arrive]]</f>
        <v>6</v>
      </c>
    </row>
    <row r="289" spans="1:10">
      <c r="A289" s="1" t="s">
        <v>466</v>
      </c>
      <c r="B289" s="21"/>
      <c r="C289" s="2">
        <v>46121</v>
      </c>
      <c r="D289" s="19" t="s">
        <v>167</v>
      </c>
      <c r="E289" s="1" t="s">
        <v>168</v>
      </c>
      <c r="F289" s="9" t="s">
        <v>405</v>
      </c>
      <c r="G289" s="1">
        <v>10</v>
      </c>
      <c r="H289" s="1"/>
      <c r="I289" s="1"/>
      <c r="J289" s="1">
        <f>Table22[[#This Row],[Qty]]-Table22[[#This Row],[Qty arrive]]</f>
        <v>10</v>
      </c>
    </row>
    <row r="290" spans="1:10">
      <c r="A290" s="1" t="s">
        <v>466</v>
      </c>
      <c r="B290" s="21"/>
      <c r="C290" s="2">
        <v>46121</v>
      </c>
      <c r="D290" s="19" t="s">
        <v>167</v>
      </c>
      <c r="E290" s="1" t="s">
        <v>168</v>
      </c>
      <c r="F290" s="9" t="s">
        <v>406</v>
      </c>
      <c r="G290" s="1">
        <v>4</v>
      </c>
      <c r="H290" s="1"/>
      <c r="I290" s="1"/>
      <c r="J290" s="1">
        <f>Table22[[#This Row],[Qty]]-Table22[[#This Row],[Qty arrive]]</f>
        <v>4</v>
      </c>
    </row>
    <row r="291" spans="1:10">
      <c r="A291" s="1" t="s">
        <v>466</v>
      </c>
      <c r="B291" s="21"/>
      <c r="C291" s="2">
        <v>46121</v>
      </c>
      <c r="D291" s="19" t="s">
        <v>167</v>
      </c>
      <c r="E291" s="1" t="s">
        <v>168</v>
      </c>
      <c r="F291" s="9" t="s">
        <v>467</v>
      </c>
      <c r="G291" s="1">
        <v>5</v>
      </c>
      <c r="H291" s="1"/>
      <c r="I291" s="1"/>
      <c r="J291" s="1">
        <f>Table22[[#This Row],[Qty]]-Table22[[#This Row],[Qty arrive]]</f>
        <v>5</v>
      </c>
    </row>
    <row r="292" spans="1:10">
      <c r="A292" s="1" t="s">
        <v>468</v>
      </c>
      <c r="B292" s="21"/>
      <c r="C292" s="2">
        <v>46122</v>
      </c>
      <c r="D292" s="19" t="s">
        <v>231</v>
      </c>
      <c r="E292" s="4" t="s">
        <v>232</v>
      </c>
      <c r="F292" s="9" t="s">
        <v>469</v>
      </c>
      <c r="G292" s="1">
        <v>1</v>
      </c>
      <c r="H292" s="1"/>
      <c r="I292" s="1"/>
      <c r="J292" s="1">
        <f>Table22[[#This Row],[Qty]]-Table22[[#This Row],[Qty arrive]]</f>
        <v>1</v>
      </c>
    </row>
    <row r="293" spans="1:10">
      <c r="A293" s="26"/>
      <c r="B293" s="21"/>
      <c r="C293" s="2"/>
      <c r="D293" s="19"/>
      <c r="E293" s="1"/>
      <c r="F293" s="1"/>
      <c r="G293" s="1"/>
      <c r="H293" s="1"/>
      <c r="I293" s="1"/>
      <c r="J293" s="1">
        <f>Table22[[#This Row],[Qty]]-Table22[[#This Row],[Qty arrive]]</f>
        <v>0</v>
      </c>
    </row>
    <row r="294" spans="1:10">
      <c r="A294" s="26"/>
      <c r="B294" s="21"/>
      <c r="C294" s="2"/>
      <c r="D294" s="19"/>
      <c r="E294" s="1"/>
      <c r="F294" s="1"/>
      <c r="G294" s="1"/>
      <c r="H294" s="1"/>
      <c r="I294" s="1"/>
      <c r="J294" s="1">
        <f>Table22[[#This Row],[Qty]]-Table22[[#This Row],[Qty arrive]]</f>
        <v>0</v>
      </c>
    </row>
    <row r="295" spans="1:10">
      <c r="A295" s="26"/>
      <c r="B295" s="21"/>
      <c r="C295" s="2"/>
      <c r="D295" s="19"/>
      <c r="E295" s="1"/>
      <c r="F295" s="1"/>
      <c r="G295" s="1"/>
      <c r="H295" s="1"/>
      <c r="I295" s="1"/>
      <c r="J295" s="1">
        <f>Table22[[#This Row],[Qty]]-Table22[[#This Row],[Qty arrive]]</f>
        <v>0</v>
      </c>
    </row>
    <row r="296" spans="1:10">
      <c r="A296" s="26"/>
      <c r="B296" s="21"/>
      <c r="C296" s="2"/>
      <c r="D296" s="19"/>
      <c r="E296" s="1"/>
      <c r="F296" s="1"/>
      <c r="G296" s="1"/>
      <c r="H296" s="1"/>
      <c r="I296" s="1"/>
      <c r="J296" s="1">
        <f>Table22[[#This Row],[Qty]]-Table22[[#This Row],[Qty arrive]]</f>
        <v>0</v>
      </c>
    </row>
    <row r="297" spans="1:10">
      <c r="A297" s="26"/>
      <c r="B297" s="21"/>
      <c r="C297" s="2"/>
      <c r="D297" s="19"/>
      <c r="E297" s="1"/>
      <c r="F297" s="1"/>
      <c r="G297" s="1"/>
      <c r="H297" s="1"/>
      <c r="I297" s="1"/>
      <c r="J297" s="1">
        <f>Table22[[#This Row],[Qty]]-Table22[[#This Row],[Qty arrive]]</f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4B8A0154B8654983219DC36558FFCF" ma:contentTypeVersion="3" ma:contentTypeDescription="Create a new document." ma:contentTypeScope="" ma:versionID="acf9dbf4e347b9b872aeb821ee550afa">
  <xsd:schema xmlns:xsd="http://www.w3.org/2001/XMLSchema" xmlns:xs="http://www.w3.org/2001/XMLSchema" xmlns:p="http://schemas.microsoft.com/office/2006/metadata/properties" xmlns:ns2="70a33b72-cc74-4b29-a0a5-911511890959" targetNamespace="http://schemas.microsoft.com/office/2006/metadata/properties" ma:root="true" ma:fieldsID="a4f2f75b5aa64b626ced70a8b35724aa" ns2:_="">
    <xsd:import namespace="70a33b72-cc74-4b29-a0a5-9115118909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a33b72-cc74-4b29-a0a5-9115118909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1DFE7B-AAB2-4F1B-9D92-C525EDB788DC}"/>
</file>

<file path=customXml/itemProps2.xml><?xml version="1.0" encoding="utf-8"?>
<ds:datastoreItem xmlns:ds="http://schemas.openxmlformats.org/officeDocument/2006/customXml" ds:itemID="{C28183D9-4DC4-49BA-A8A4-ADEA5866977E}"/>
</file>

<file path=customXml/itemProps3.xml><?xml version="1.0" encoding="utf-8"?>
<ds:datastoreItem xmlns:ds="http://schemas.openxmlformats.org/officeDocument/2006/customXml" ds:itemID="{1AA913A9-58BC-45EF-920B-B20B2C6E2A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Cham Chiu Wu</dc:creator>
  <cp:keywords/>
  <dc:description/>
  <cp:lastModifiedBy/>
  <cp:revision/>
  <dcterms:created xsi:type="dcterms:W3CDTF">2025-10-14T02:09:49Z</dcterms:created>
  <dcterms:modified xsi:type="dcterms:W3CDTF">2026-04-12T16:29:33Z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0x010100084B8A0154B8654983219DC36558FFCF</vt:lpwstr>
  </property>
</Properties>
</file>